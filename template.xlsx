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й" sheetId="1" r:id="rId5"/>
    <sheet state="visible" name="Дорожная карта" sheetId="2" r:id="rId6"/>
    <sheet state="visible" name="Список студентов" sheetId="3" r:id="rId7"/>
    <sheet state="visible" name="Дополнительные результаты" sheetId="4" r:id="rId8"/>
    <sheet state="visible" name="Смета" sheetId="5" r:id="rId9"/>
  </sheets>
  <definedNames>
    <definedName name="ЦенаСмета">'Смета'!$G$2:$G$92</definedName>
    <definedName name="ШапкаСпискаСтудентов">'Список студентов'!$2:$2</definedName>
    <definedName name="Кураторы">'Общий'!$C$36:$C$43</definedName>
    <definedName name="ПолеГанта">'Дорожная карта'!$M$3:$DT$184</definedName>
    <definedName name="ШапкаГанта">'Дорожная карта'!$1:$2</definedName>
    <definedName name="ФИОСтудентаГруппа">'Список студентов'!$B$3:$D$27</definedName>
    <definedName name="Sheet1Diap1">'Общий'!$A$1:$A$43</definedName>
    <definedName name="Sheet1Diap3">'Общий'!$A$44:$C$50</definedName>
    <definedName name="КритерийДостижения">'Общий'!$C$20:$C$24</definedName>
    <definedName name="КлючевыеЗадачи">'Общий'!$C$25:$C$29</definedName>
    <definedName name="ОтметкаВыполнения">'Дорожная карта'!$L$3:$L$184</definedName>
    <definedName name="Балл">#REF!</definedName>
    <definedName name="Длительность">'Дорожная карта'!$H$3:$L$184</definedName>
    <definedName name="РольСтудента">'Список студентов'!$E$3:$E$27</definedName>
    <definedName name="ШапкаСмета">'Смета'!$1:$1</definedName>
    <definedName name="СуммаБалл">#REF!</definedName>
    <definedName name="СметаСчёт">'Смета'!$K$2:$N$92</definedName>
    <definedName name="ПромежРезультат">'Общий'!$C$15:$C$19</definedName>
    <definedName name="ПродуктРезультат">'Общий'!$C$11:$C$14</definedName>
    <definedName name="ИндивидНадбавка">#REF!</definedName>
    <definedName name="Sheet1Diap2">'Общий'!$C$32:$C$34</definedName>
    <definedName name="Описание">'Общий'!$C$1:$C$9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0">
      <text>
        <t xml:space="preserve">Для продолжающихся проектов — 1 сентября или 1 февраля года начала работы над проектом; для новых проектов — 1 сентября или 1 февраля текущего года</t>
      </text>
    </comment>
    <comment authorId="0" ref="A9">
      <text>
        <t xml:space="preserve">Целью проекта не может быть «сделать установку». Цель формируется исходя из решения проблемы</t>
      </text>
    </comment>
    <comment authorId="0" ref="A20">
      <text>
        <t xml:space="preserve">Например:
Производительность не менее 10 кг/ч
Электрическая мощность не более 2 кВт</t>
      </text>
    </comment>
    <comment authorId="0" ref="A36">
      <text>
        <t xml:space="preserve">ФИО, телефон/email для связи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Одна задача = один исполнитель. Если исполнителей оказалось больше — нужно разбить задачу на подзадачи</t>
      </text>
    </comment>
    <comment authorId="0" ref="L1">
      <text>
        <t xml:space="preserve">Только после выставления этой отметки исполнителю будут начислены баллы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Максимальное кол-во баллов, который мог бы получить студент в случае выполнения всех своих задач</t>
      </text>
    </comment>
    <comment authorId="0" ref="J2">
      <text>
        <t xml:space="preserve">Действительное кол-во баллов, который студент получил за выполненные задачи</t>
      </text>
    </comment>
    <comment authorId="0" ref="K2">
      <text>
        <t xml:space="preserve">Сумма с учетом индивидуальных надбавок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Введите полное наименование товара</t>
      </text>
    </comment>
    <comment authorId="0" ref="C1">
      <text>
        <t xml:space="preserve">Введите точную гиперссылку на товар</t>
      </text>
    </comment>
    <comment authorId="0" ref="L7">
      <text>
        <t xml:space="preserve">Вложенные личные средства</t>
      </text>
    </comment>
    <comment authorId="0" ref="H1">
      <text>
        <t xml:space="preserve">Указывается цифровой код товара по общероссийскому классификатору продукции по видам экономической деятельности. В поисковых системах интернета предельно просто определяется ОКПД-2 товара, достаточно задать в строке поиска текст: "ОКПД-2 + название позиции".</t>
      </text>
    </comment>
    <comment authorId="0" ref="I1">
      <text>
        <t xml:space="preserve">Максимально конкретно (от этого зависит, что именно вам будет в итоге приобретено) прописываются характеристики товара (без указания марки товара) в соответствии со следующим форматом: Труба круглая Материал: алюминий Д16Т; Диаметр: 6 мм; Толщина стенки: 1 мм; Длина: от 3000 до 3050 мм.</t>
      </text>
    </comment>
  </commentList>
</comments>
</file>

<file path=xl/sharedStrings.xml><?xml version="1.0" encoding="utf-8"?>
<sst xmlns="http://schemas.openxmlformats.org/spreadsheetml/2006/main" count="1103" uniqueCount="552">
  <si>
    <t>Название проекта</t>
  </si>
  <si>
    <t>Карты дисциплин</t>
  </si>
  <si>
    <r>
      <rPr>
        <rFont val="Arial"/>
        <b/>
        <color theme="1"/>
      </rPr>
      <t xml:space="preserve">Название подпроекта </t>
    </r>
    <r>
      <rPr>
        <rFont val="Arial"/>
        <b val="0"/>
        <i/>
        <color theme="1"/>
      </rPr>
      <t xml:space="preserve">(при наличии) </t>
    </r>
  </si>
  <si>
    <t>Заказчик</t>
  </si>
  <si>
    <t>Контактное лицо со стороны заказчика</t>
  </si>
  <si>
    <t>Контактный телефон</t>
  </si>
  <si>
    <t>Тип проекта</t>
  </si>
  <si>
    <t>Инициативный</t>
  </si>
  <si>
    <t>Уровень проекта (TRL/УГТ) на на начало уч. года</t>
  </si>
  <si>
    <t>Проблематика проекта</t>
  </si>
  <si>
    <t>Неудобство ручного создания Карты дисциплин</t>
  </si>
  <si>
    <t>Цель проекта</t>
  </si>
  <si>
    <t>Создание сервиса для упрощения и частичной автоматизации и просмотра создания карт дисциплин</t>
  </si>
  <si>
    <r>
      <rPr>
        <rFont val="Arial"/>
        <b/>
        <color theme="1"/>
      </rPr>
      <t xml:space="preserve">Продуктовый результат </t>
    </r>
    <r>
      <rPr>
        <rFont val="Arial"/>
        <b val="0"/>
        <i/>
        <color theme="1"/>
      </rPr>
      <t>(например: прототип, макет, приложение, патент и т.п.)</t>
    </r>
  </si>
  <si>
    <t>1.</t>
  </si>
  <si>
    <t>2.</t>
  </si>
  <si>
    <t>3.</t>
  </si>
  <si>
    <t>4.</t>
  </si>
  <si>
    <t>5.</t>
  </si>
  <si>
    <r>
      <rPr>
        <rFont val="Arial"/>
        <b/>
        <color theme="1"/>
      </rPr>
      <t xml:space="preserve">Промежуточный продуктовый результат </t>
    </r>
    <r>
      <rPr>
        <rFont val="Arial"/>
        <b val="0"/>
        <i/>
        <color theme="1"/>
      </rPr>
      <t>(на конец первого семестра для годовых проектов)</t>
    </r>
  </si>
  <si>
    <t>https://kd.mospolytech.ru/</t>
  </si>
  <si>
    <r>
      <rPr>
        <rFont val="Arial"/>
        <b/>
        <color theme="1"/>
      </rPr>
      <t xml:space="preserve">Критерии достижения результата </t>
    </r>
    <r>
      <rPr>
        <rFont val="Arial"/>
        <b val="0"/>
        <i/>
        <color theme="1"/>
      </rPr>
      <t>(основные характеристики продукта)</t>
    </r>
  </si>
  <si>
    <t>Экспорт учебного плана в формате XML доступен.</t>
  </si>
  <si>
    <t>Время выполнения основных операций не превышает 0.5 секунд.</t>
  </si>
  <si>
    <t>Система авторизации защищена от известных уязвимостей.</t>
  </si>
  <si>
    <t>Интерфейс интуитивно понятен для пользователей без дополнительного обучения.</t>
  </si>
  <si>
    <r>
      <rPr>
        <rFont val="Arial"/>
        <b/>
        <color theme="1"/>
      </rPr>
      <t xml:space="preserve">Ключевые задачи проекта </t>
    </r>
    <r>
      <rPr>
        <rFont val="Arial"/>
        <b val="0"/>
        <i/>
        <color theme="1"/>
      </rPr>
      <t>(уникальные решения, необходимые для достижения результата)</t>
    </r>
  </si>
  <si>
    <t>Разработан экспорт учебного плана в XML-формате для удобства дальнейшей обработки.</t>
  </si>
  <si>
    <t>Оптимизирован процесс авторизации с повышенной безопасностью.</t>
  </si>
  <si>
    <t>Обеспечена масштабируемость системы для дальнейшего добавления инструментов и функций.</t>
  </si>
  <si>
    <t>Проведена работа по ускорению развертывания приложения на сервере.</t>
  </si>
  <si>
    <t>Дата действительного старта проекта</t>
  </si>
  <si>
    <t>Длительность проекта</t>
  </si>
  <si>
    <t>2 семестра</t>
  </si>
  <si>
    <t>Количество студентов</t>
  </si>
  <si>
    <t>Проектное направление</t>
  </si>
  <si>
    <t>IT</t>
  </si>
  <si>
    <t>Руководитель проектного направления</t>
  </si>
  <si>
    <t>Стрижеус Валерий Александрович</t>
  </si>
  <si>
    <t>Руководитель проекта</t>
  </si>
  <si>
    <t>Кураторы проекта (подпроекта)</t>
  </si>
  <si>
    <t>Осьмин Владимир Вячеславовчи</t>
  </si>
  <si>
    <t>6.</t>
  </si>
  <si>
    <t>7.</t>
  </si>
  <si>
    <t>8.</t>
  </si>
  <si>
    <t>Бюджет проекта, руб.</t>
  </si>
  <si>
    <t>– в т. ч. финансирование от ЦПД, руб.</t>
  </si>
  <si>
    <t>– в т. ч. финансирование от заказчика, руб.</t>
  </si>
  <si>
    <t>– доля участия заказчика, %</t>
  </si>
  <si>
    <t>№№
п/п</t>
  </si>
  <si>
    <t>Задачи и подзадачи</t>
  </si>
  <si>
    <t>Ответственный (студент)</t>
  </si>
  <si>
    <t>Исполнитель (студент)</t>
  </si>
  <si>
    <t>Стоимость задачи в баллах</t>
  </si>
  <si>
    <t>План</t>
  </si>
  <si>
    <t>Факт</t>
  </si>
  <si>
    <t>Задача выполнена</t>
  </si>
  <si>
    <t>пн</t>
  </si>
  <si>
    <t>вт</t>
  </si>
  <si>
    <t>ср</t>
  </si>
  <si>
    <t>чт</t>
  </si>
  <si>
    <t>пт</t>
  </si>
  <si>
    <t>сб</t>
  </si>
  <si>
    <t>вс</t>
  </si>
  <si>
    <t>Старт</t>
  </si>
  <si>
    <t>Финиш</t>
  </si>
  <si>
    <t>Итого</t>
  </si>
  <si>
    <t>1</t>
  </si>
  <si>
    <t>Дописать сервисы регистрации, восстановлени и смены логина и пароля для доступа к форматированию КД</t>
  </si>
  <si>
    <t>Бунаков Владислав Евгеньевич</t>
  </si>
  <si>
    <t>2</t>
  </si>
  <si>
    <t>Веб-интерфейс для проведения проверок АУП</t>
  </si>
  <si>
    <t>3</t>
  </si>
  <si>
    <t>Протокол проверки в веб</t>
  </si>
  <si>
    <t>4</t>
  </si>
  <si>
    <t>Структура унификации, дополнение таблиц БД</t>
  </si>
  <si>
    <t>5</t>
  </si>
  <si>
    <t>Интерфейс для создания, редактирования унификации</t>
  </si>
  <si>
    <t>6</t>
  </si>
  <si>
    <t>Веб протокол проверки АУП</t>
  </si>
  <si>
    <t>7</t>
  </si>
  <si>
    <t>Печатные формы КД в форматах А4 и А3 (поправить константу)</t>
  </si>
  <si>
    <t>Бабкина Юлия Алексеевна</t>
  </si>
  <si>
    <t>8</t>
  </si>
  <si>
    <t>Выгрузка из БД КД в формате XML для дальнейшего экспорта в 1С</t>
  </si>
  <si>
    <t>Квашнина Ирина Александровна</t>
  </si>
  <si>
    <t>9</t>
  </si>
  <si>
    <t>Интерфейс редактирования АУП</t>
  </si>
  <si>
    <t>Герджикова Вероника Николаевна</t>
  </si>
  <si>
    <t>10</t>
  </si>
  <si>
    <t>Интерфейс создания и редактирования Модулей ( по аналогии с Группировками)</t>
  </si>
  <si>
    <t>Сизов Егор Александрович</t>
  </si>
  <si>
    <t>11</t>
  </si>
  <si>
    <t>Протоколирование всех изменений при редактировании АУП, сохранение в БД</t>
  </si>
  <si>
    <t>12</t>
  </si>
  <si>
    <r>
      <rPr>
        <rFont val="Arial"/>
        <b/>
        <color theme="1"/>
      </rPr>
      <t xml:space="preserve">Бек. </t>
    </r>
    <r>
      <rPr>
        <rFont val="Arial"/>
        <color theme="1"/>
      </rPr>
      <t>При загрузке файла выгрузки сделать проверку на существование этого номера АУП в веб сервисе. При наличии вывести диалоговое окно "Если вы хотите перезапичать имеющиеся данные нажмите ок". При отмене перезаписи - необходимо предусмотреть открытие существуещей КД</t>
    </r>
  </si>
  <si>
    <t>13</t>
  </si>
  <si>
    <t>Разбить getAllMaps на getFaculties и getDirections, чтобы направления подгружались только при выборе факультета. Поможет разгрузиться немного, чтобы запрос быстрее проходил, а то сейчас он долго выполняется на беке. Также можно кэшировать направления и факультеты на фронте/беке</t>
  </si>
  <si>
    <t>14</t>
  </si>
  <si>
    <t xml:space="preserve">1) В форме не отображается карандаш у новых загруженных АУП
2) Нет прав на редактирование нового загруженного АУП
</t>
  </si>
  <si>
    <t>Савиди Георгий Антонович</t>
  </si>
  <si>
    <t>15</t>
  </si>
  <si>
    <t>Меню выгрузки XML перенести из режима КД в режим "Редарктирование АУП"</t>
  </si>
  <si>
    <t>16</t>
  </si>
  <si>
    <t>При открытии группировок добавить лоадеры</t>
  </si>
  <si>
    <t>17</t>
  </si>
  <si>
    <t>Детализация форм контроля:
- Экзамен / Зачет / Дифференцированный зачет
- Курсовой проект / Курсовая работа (чекбоксы)</t>
  </si>
  <si>
    <t>Замятин Максим Анантольевич</t>
  </si>
  <si>
    <t>18</t>
  </si>
  <si>
    <t>Снизу таблицы сделать плашку с расчетом по каждому семестру, подобдно учебному плану. (4 Сводные данные по объемам программы - правый нижний угол ПФ АУП)</t>
  </si>
  <si>
    <t>Нуреев Дамир Ринатович</t>
  </si>
  <si>
    <t>19</t>
  </si>
  <si>
    <t xml:space="preserve">Режим Редактирования: красить дисциплины на основе модулей. </t>
  </si>
  <si>
    <t>20</t>
  </si>
  <si>
    <t xml:space="preserve">Адаптировать виджет редактирования всех группировок для модулей. </t>
  </si>
  <si>
    <t>21</t>
  </si>
  <si>
    <t>Переписать фронт, чтобы у пользователя корректно обрабатывались несколько ролей.</t>
  </si>
  <si>
    <t>22</t>
  </si>
  <si>
    <t>При загрузке выгрузки добавить галочку "Перезаписать"</t>
  </si>
  <si>
    <t>23</t>
  </si>
  <si>
    <t>Создать сраницу администратора для настройки пользователей и режимов.</t>
  </si>
  <si>
    <t>24</t>
  </si>
  <si>
    <t>В модалку с группировками\модулями добавить галочку, чтобы можно было скрывать дисцилины с заполненной группировкой\модулем</t>
  </si>
  <si>
    <t>25</t>
  </si>
  <si>
    <t>Обновлять токен при открытии страницы, чтобы не приходилось заново авторизовываться для получения прав</t>
  </si>
  <si>
    <t>26</t>
  </si>
  <si>
    <t>Переделать вход по кнопке enter.</t>
  </si>
  <si>
    <t>Фролов Михаил Сергеевич</t>
  </si>
  <si>
    <t>27</t>
  </si>
  <si>
    <t>Изменить уведомление при поиске факультета.</t>
  </si>
  <si>
    <t>28</t>
  </si>
  <si>
    <t>Добавить чекбокс при загрузке карты. Если он нажат, карта перезаписывается и появлявляется соотвествующее уведомление</t>
  </si>
  <si>
    <t>29</t>
  </si>
  <si>
    <t xml:space="preserve">Интерфейс отображения лекций, срс, практических в квадратиках дисциплин. </t>
  </si>
  <si>
    <t>30</t>
  </si>
  <si>
    <t>Сделать, чтобы после изменения лабораторных работ\лекций дельта падала в СРС. Округление ЗЕТ до сотых</t>
  </si>
  <si>
    <t>31</t>
  </si>
  <si>
    <t>Детализация настройки форм контроля</t>
  </si>
  <si>
    <t>32</t>
  </si>
  <si>
    <t>Сделать откат к предыдущей версии учебного плана</t>
  </si>
  <si>
    <t>Рожкова Елизавета Михайловна</t>
  </si>
  <si>
    <t>33</t>
  </si>
  <si>
    <t>Добавить кнопки Удалить, Скопировать, Изменить "шапку" АУП, настроить функционал, формы для отправки, валидация, работа с API ( подробнее в таске на гите)</t>
  </si>
  <si>
    <t>34</t>
  </si>
  <si>
    <t>Сделать версионирование учебных планов</t>
  </si>
  <si>
    <t>Сергеев Михаил Сергеевич</t>
  </si>
  <si>
    <t>35</t>
  </si>
  <si>
    <t>БД, График учебного процесса</t>
  </si>
  <si>
    <t>36</t>
  </si>
  <si>
    <t>Добавить отдельное (боковое) меню для всех кнопок.</t>
  </si>
  <si>
    <t>37</t>
  </si>
  <si>
    <t>Повышение уровня юзабилити основыных элементов карты</t>
  </si>
  <si>
    <t>38</t>
  </si>
  <si>
    <t>Работа с параметрами отображения (итоговый контроль, нагрузка)</t>
  </si>
  <si>
    <t>39</t>
  </si>
  <si>
    <t>Оптимизация функциональности проекта для удобства использования(правка юзабилити)</t>
  </si>
  <si>
    <t>40</t>
  </si>
  <si>
    <t>Создание режима отчетов</t>
  </si>
  <si>
    <t>41</t>
  </si>
  <si>
    <t>Добавить в интерфейс "параметры отображения" отображение формы оценивания</t>
  </si>
  <si>
    <t>42</t>
  </si>
  <si>
    <t>Написать проектную документацию</t>
  </si>
  <si>
    <t>Кузнецов Святослав Игоревич</t>
  </si>
  <si>
    <t>43</t>
  </si>
  <si>
    <t xml:space="preserve">Презентация к первой аттестации </t>
  </si>
  <si>
    <t>44</t>
  </si>
  <si>
    <t>Презентация ко второй аттестации</t>
  </si>
  <si>
    <t>45</t>
  </si>
  <si>
    <t>Сбор информации о SSL сертификатов для проекта</t>
  </si>
  <si>
    <t>46</t>
  </si>
  <si>
    <t>Создание Диаграммы Ганта</t>
  </si>
  <si>
    <t>47</t>
  </si>
  <si>
    <t xml:space="preserve">Создание Дорожной Карты </t>
  </si>
  <si>
    <t>48</t>
  </si>
  <si>
    <t>Редактирования Паспорта проекта</t>
  </si>
  <si>
    <t>49</t>
  </si>
  <si>
    <t>Сделать выбор факультета, направления и года при открытии карты по ссылке.</t>
  </si>
  <si>
    <t>50</t>
  </si>
  <si>
    <t>Некорректное название файла при скачивании карты</t>
  </si>
  <si>
    <t>51</t>
  </si>
  <si>
    <t>Карты не меняется если менять URL</t>
  </si>
  <si>
    <t xml:space="preserve">Бунаков Владислав Евгеньевич </t>
  </si>
  <si>
    <t>52</t>
  </si>
  <si>
    <t>Перемещение кнопки настройки сводной таблицы</t>
  </si>
  <si>
    <t>Замятин Максим Анатольевич</t>
  </si>
  <si>
    <t>53</t>
  </si>
  <si>
    <t>При загрузке страницы группировки пропадают, все предметы белые</t>
  </si>
  <si>
    <t>54</t>
  </si>
  <si>
    <t>Баг при удалении группировки</t>
  </si>
  <si>
    <t>55</t>
  </si>
  <si>
    <t>Создание модуля</t>
  </si>
  <si>
    <t>56</t>
  </si>
  <si>
    <t>Изменение АУП в режиме просмотра</t>
  </si>
  <si>
    <t>57</t>
  </si>
  <si>
    <t>Чекбокс число курсовых работ в сводной таблице</t>
  </si>
  <si>
    <t>58</t>
  </si>
  <si>
    <t>Сохранение карты с отредактированными дисциплинами</t>
  </si>
  <si>
    <t>59</t>
  </si>
  <si>
    <t>При выборе года направление пропадает</t>
  </si>
  <si>
    <t>60</t>
  </si>
  <si>
    <t>Вернуть котика, когда не отображается КД на странице</t>
  </si>
  <si>
    <t>61</t>
  </si>
  <si>
    <t>Пересчитывать шифры при сохранении АУП</t>
  </si>
  <si>
    <t>62</t>
  </si>
  <si>
    <t>Задвоение toast при авторизации</t>
  </si>
  <si>
    <t>63</t>
  </si>
  <si>
    <t>Добавить информацию во вкладке DevOps Yandex Wiki</t>
  </si>
  <si>
    <t>64</t>
  </si>
  <si>
    <t xml:space="preserve">Правка сводной таблицы </t>
  </si>
  <si>
    <t>65</t>
  </si>
  <si>
    <t>Добавить кнопку входа по ЕУЗ</t>
  </si>
  <si>
    <t>66</t>
  </si>
  <si>
    <t>Придумать выделение направления после смены года</t>
  </si>
  <si>
    <t>67</t>
  </si>
  <si>
    <t xml:space="preserve">Данные в header не заполняются в соотвецтвии с номером АУП </t>
  </si>
  <si>
    <t>68</t>
  </si>
  <si>
    <t>Режим отчетов</t>
  </si>
  <si>
    <t>69</t>
  </si>
  <si>
    <t>Версионирование АУП</t>
  </si>
  <si>
    <t>70</t>
  </si>
  <si>
    <t>Сбрасывать текущий АУП при смене года</t>
  </si>
  <si>
    <t>71</t>
  </si>
  <si>
    <t>Редактирование Атрибуты Циклов и Титул</t>
  </si>
  <si>
    <t>72</t>
  </si>
  <si>
    <t>Выгрузка из БД КД в формате XML</t>
  </si>
  <si>
    <t>73</t>
  </si>
  <si>
    <t>Сделать так чтобы факультет мог удалить/скопировать/редактировать только свои карты</t>
  </si>
  <si>
    <t>74</t>
  </si>
  <si>
    <t>Сделать так чтобы факультет мог редактировать только свои АУП</t>
  </si>
  <si>
    <t>75</t>
  </si>
  <si>
    <t>Корзина для АУП</t>
  </si>
  <si>
    <t>76</t>
  </si>
  <si>
    <t>Редактирование АтрибутыЦиклов и Титул</t>
  </si>
  <si>
    <t>77</t>
  </si>
  <si>
    <t>Сохранение файла xml с использованием библиотеки io</t>
  </si>
  <si>
    <t>78</t>
  </si>
  <si>
    <t>Редирект на странцу авторизации админа с карт дисчиплин</t>
  </si>
  <si>
    <t>79</t>
  </si>
  <si>
    <t>Добавлен лоадер для кпки войти и обработка неправильного кода авторизации</t>
  </si>
  <si>
    <t>80</t>
  </si>
  <si>
    <t>Правка багов - При изменения поля редактирования дисциплин кнопка сохранить остается серого цвента.</t>
  </si>
  <si>
    <t>81</t>
  </si>
  <si>
    <t>82</t>
  </si>
  <si>
    <t>UX/UI Admin API</t>
  </si>
  <si>
    <t>83</t>
  </si>
  <si>
    <t>Вывод в селектор направлений актуальных (не поменченных на удаление АУП)</t>
  </si>
  <si>
    <t>84</t>
  </si>
  <si>
    <t>Редактирование рута practical_training_report на бэк</t>
  </si>
  <si>
    <t>85</t>
  </si>
  <si>
    <t>Редактирование отображения Режима отчетов, фильтрация по факультету, году, поиск. Стилизация формы отчетов. Перевод на русский</t>
  </si>
  <si>
    <t>86</t>
  </si>
  <si>
    <t>Настройка режима доступа по роли для действия с АУП, редактирование отчетов, корзина, версионирование</t>
  </si>
  <si>
    <t>87</t>
  </si>
  <si>
    <t>Реактивность в боковой панели при авторизации, скрытие/показ пароля в инпуте авторизации</t>
  </si>
  <si>
    <t>88</t>
  </si>
  <si>
    <t>Правка багов</t>
  </si>
  <si>
    <t>89</t>
  </si>
  <si>
    <t>Корзина для АУП, UX/UI</t>
  </si>
  <si>
    <t>90</t>
  </si>
  <si>
    <t>обновления данных при смене параметров</t>
  </si>
  <si>
    <t>91</t>
  </si>
  <si>
    <t>92</t>
  </si>
  <si>
    <t>Toast на корзину и дествия с АУП</t>
  </si>
  <si>
    <t>93</t>
  </si>
  <si>
    <t>Сбрасывать текущий АУП после того как положили в корзину</t>
  </si>
  <si>
    <t>94</t>
  </si>
  <si>
    <t>Протестить все toasts и поправить чтобы при ошибке падал error а при успешном запросе success</t>
  </si>
  <si>
    <t>95</t>
  </si>
  <si>
    <t>Разобраться приходит с бека на practical_training_report (удаленные карты)</t>
  </si>
  <si>
    <t>96</t>
  </si>
  <si>
    <t>Переход на карту (первую succes) при выгрузке</t>
  </si>
  <si>
    <t>97</t>
  </si>
  <si>
    <t>Убрать возможность редактирования Id АУП при копировании (инкрементировать 0x000... значение взависимости от счетчика копий)</t>
  </si>
  <si>
    <t>98</t>
  </si>
  <si>
    <t>Расширить input в сводной таблице (Унификация??)</t>
  </si>
  <si>
    <t>99</t>
  </si>
  <si>
    <t>Починить отображение настройки контроля и выбор курсового проекта в режиме редактировани АУП, добавлен 11 и 12 семестр</t>
  </si>
  <si>
    <t>100</t>
  </si>
  <si>
    <t>При сбросе карты сбрасывать query-параметр</t>
  </si>
  <si>
    <t>101</t>
  </si>
  <si>
    <t>Связаться с беком по поводу группировок (новое поле чтобы хранить название дисциплин??)</t>
  </si>
  <si>
    <t>102</t>
  </si>
  <si>
    <t>Рефакторинг структуры проекта (переход на Option API)</t>
  </si>
  <si>
    <t>103</t>
  </si>
  <si>
    <t>Рефакторинг авторизации для внешних сервисов</t>
  </si>
  <si>
    <t>104</t>
  </si>
  <si>
    <t>Рефакторинг авторизации adimin api</t>
  </si>
  <si>
    <t>105</t>
  </si>
  <si>
    <t>Рефакторинг главной страницы</t>
  </si>
  <si>
    <t>106</t>
  </si>
  <si>
    <t>Страница проекта пользователи</t>
  </si>
  <si>
    <t>107</t>
  </si>
  <si>
    <t>Страница проекта роли</t>
  </si>
  <si>
    <t>108</t>
  </si>
  <si>
    <t>Страница проекта права доступа</t>
  </si>
  <si>
    <t>109</t>
  </si>
  <si>
    <t>Страница проекта настройки</t>
  </si>
  <si>
    <t>110</t>
  </si>
  <si>
    <t>Страница проекта заявки</t>
  </si>
  <si>
    <t>111</t>
  </si>
  <si>
    <t>Детальное конспектирование задач по frontend и backend за февраль</t>
  </si>
  <si>
    <t>112</t>
  </si>
  <si>
    <t>Детальное конспектирование задач по frontend и backend за март</t>
  </si>
  <si>
    <t>113</t>
  </si>
  <si>
    <t>Детальное конспектирование задач по frontend и backend за апрель</t>
  </si>
  <si>
    <t>114</t>
  </si>
  <si>
    <t>Добавить подразделы - разбить статьи на типы и объединить в группы</t>
  </si>
  <si>
    <t>115</t>
  </si>
  <si>
    <t xml:space="preserve">Добавить в cron очистку кеша докера </t>
  </si>
  <si>
    <t>116</t>
  </si>
  <si>
    <t>Оптимизация нагрузки на кеш и систему в целом</t>
  </si>
  <si>
    <t>117</t>
  </si>
  <si>
    <t xml:space="preserve">Настроить алерты в Grafana </t>
  </si>
  <si>
    <t>118</t>
  </si>
  <si>
    <t xml:space="preserve">Актуализировать презентацию ко второй аттестации </t>
  </si>
  <si>
    <t>119</t>
  </si>
  <si>
    <t>Актуализировать паспорт проекта и пояснителную записку</t>
  </si>
  <si>
    <t>120</t>
  </si>
  <si>
    <t>Баг: параметры отображения (не  везде отображается тип контроля)</t>
  </si>
  <si>
    <t>121</t>
  </si>
  <si>
    <t>Запрет действйи с АУПом, котрый находится в корзине</t>
  </si>
  <si>
    <t>122</t>
  </si>
  <si>
    <t>Переход на карту при восттановлении из корзины</t>
  </si>
  <si>
    <t>123</t>
  </si>
  <si>
    <t>Обновление селекта после восстановления из корзины</t>
  </si>
  <si>
    <t>124</t>
  </si>
  <si>
    <t>Баг: карта при сохранении аупа пропадает</t>
  </si>
  <si>
    <t>125</t>
  </si>
  <si>
    <t>Реализация пермишенов через классы Permission, PermissionsEnum</t>
  </si>
  <si>
    <t>126</t>
  </si>
  <si>
    <t>Адаптирование роутов под новую авторизацию</t>
  </si>
  <si>
    <t>127</t>
  </si>
  <si>
    <t>Добавление пермишенов для роутов и интерфейса</t>
  </si>
  <si>
    <t>128</t>
  </si>
  <si>
    <t>Фикс сохранения карты</t>
  </si>
  <si>
    <t>129</t>
  </si>
  <si>
    <t>Фикс бага: После создания группировки нельзя поменять ей цвет, если не доабавить в нее дисциплины</t>
  </si>
  <si>
    <t>130</t>
  </si>
  <si>
    <t>Редизайн сводной таблицы, добавление сохранения, перенос кнопки изменения отображения в настройки, редизайн чекбосков настройках таблицы</t>
  </si>
  <si>
    <t>131</t>
  </si>
  <si>
    <t>Фикс принятие цвета уже в созданом модуле, перетаскивание модулей из назначенных</t>
  </si>
  <si>
    <t>132</t>
  </si>
  <si>
    <t>Улучшение вида версий, тосты, значение по умолчанию</t>
  </si>
  <si>
    <t>133</t>
  </si>
  <si>
    <t>Фикс отображения нагрузок, когда наводишься номер семестра</t>
  </si>
  <si>
    <t>134</t>
  </si>
  <si>
    <t>Фикс отображения количества нагрузок в сводной таблице</t>
  </si>
  <si>
    <t>135</t>
  </si>
  <si>
    <t>Фикс бага После создания модуля инпут с имененм модуля не сбрасывает состояние валидации</t>
  </si>
  <si>
    <t>136</t>
  </si>
  <si>
    <t>Юзабилити &amp;&amp; UI/UX в окне модулей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</si>
  <si>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</si>
  <si>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</si>
  <si>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</si>
  <si>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</si>
  <si>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</si>
  <si>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</si>
  <si>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</si>
  <si>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</si>
  <si>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</si>
  <si>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</si>
  <si>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</si>
  <si>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</si>
  <si>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</si>
  <si>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</si>
  <si>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</si>
  <si>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</si>
  <si>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</si>
  <si>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</si>
  <si>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</si>
  <si>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</si>
  <si>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</si>
  <si>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</si>
  <si>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</si>
  <si>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</si>
  <si>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</si>
  <si>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</si>
  <si>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</si>
  <si>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</si>
  <si>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</si>
  <si>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</si>
  <si>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</si>
  <si>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</si>
  <si>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</si>
  <si>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</si>
  <si>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</si>
  <si>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</si>
  <si>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</si>
  <si>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</si>
  <si>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</si>
  <si>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</si>
  <si>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</si>
  <si>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</si>
  <si>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</si>
  <si>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</si>
  <si>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</si>
  <si>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</si>
  <si>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</si>
  <si>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</si>
  <si>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</si>
  <si>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</si>
  <si>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</si>
  <si>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</si>
  <si>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</si>
  <si>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</si>
  <si>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</si>
  <si>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</si>
  <si>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</si>
  <si>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</si>
  <si>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</si>
  <si>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</si>
  <si>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</si>
  <si>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</si>
  <si>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</si>
  <si>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</si>
  <si>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</si>
  <si>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</si>
  <si>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</si>
  <si>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</si>
  <si>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</si>
  <si>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</si>
  <si>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</si>
  <si>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</si>
  <si>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</si>
  <si>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</si>
  <si>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</si>
  <si>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</si>
  <si>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</si>
  <si>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</si>
  <si>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</si>
  <si>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</si>
  <si>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</si>
  <si>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</si>
  <si>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</si>
  <si>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</si>
  <si>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</si>
  <si>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</si>
  <si>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</si>
  <si>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</si>
  <si>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</si>
  <si>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</si>
  <si>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</si>
  <si>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</si>
  <si>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</si>
  <si>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</si>
  <si>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</si>
  <si>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</si>
  <si>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</si>
  <si>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</si>
  <si>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</si>
  <si>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</si>
  <si>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</si>
  <si>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</si>
  <si>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</si>
  <si>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</si>
  <si>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</si>
  <si>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</si>
  <si>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</si>
  <si>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</si>
  <si>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</si>
  <si>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</si>
  <si>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</si>
  <si>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</si>
  <si>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</si>
  <si>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</si>
  <si>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ФИО</t>
  </si>
  <si>
    <t>GitHub Login</t>
  </si>
  <si>
    <t>Учебная
группа</t>
  </si>
  <si>
    <t>Роль в проекте</t>
  </si>
  <si>
    <t>Рабочая группа</t>
  </si>
  <si>
    <t>Индивидуальная надбавка за особые достижения</t>
  </si>
  <si>
    <t>Баллы (из дорожной карты)</t>
  </si>
  <si>
    <t>Баллы
(до 10)</t>
  </si>
  <si>
    <t>Обоснование</t>
  </si>
  <si>
    <t>Максимум</t>
  </si>
  <si>
    <t>Группа</t>
  </si>
  <si>
    <t>De333mond</t>
  </si>
  <si>
    <t>211-727</t>
  </si>
  <si>
    <t>Лидер проекта</t>
  </si>
  <si>
    <t>231-322</t>
  </si>
  <si>
    <t>Исполнитель</t>
  </si>
  <si>
    <t>231-321</t>
  </si>
  <si>
    <t>Бригадир</t>
  </si>
  <si>
    <t>221-331</t>
  </si>
  <si>
    <t>221-322</t>
  </si>
  <si>
    <t>231-3210</t>
  </si>
  <si>
    <t>Квашина Ирина Александровна</t>
  </si>
  <si>
    <t>231-365</t>
  </si>
  <si>
    <t>231-351</t>
  </si>
  <si>
    <t>Ишкильдин Рамазан Фанилевич</t>
  </si>
  <si>
    <t>231-362</t>
  </si>
  <si>
    <t>№ события</t>
  </si>
  <si>
    <t>Конкурсы</t>
  </si>
  <si>
    <t>наименование ведомства, программы, лота, конкурса</t>
  </si>
  <si>
    <t>название проекта, регистрационный номер, дата подачи</t>
  </si>
  <si>
    <t>сумма гранта</t>
  </si>
  <si>
    <t>электронная ссылка на документ заявки в папке проекта</t>
  </si>
  <si>
    <t>Статьи</t>
  </si>
  <si>
    <t>уровень статьи</t>
  </si>
  <si>
    <t>год</t>
  </si>
  <si>
    <t>ФИО авторов, через точку с запятой</t>
  </si>
  <si>
    <t>название публикации</t>
  </si>
  <si>
    <t>библиография (название журнала, год, номер (том) выпуска (месяц при наличии), страницы</t>
  </si>
  <si>
    <t>ISSN журнала</t>
  </si>
  <si>
    <t>DOI (при наличии)</t>
  </si>
  <si>
    <t>ссылка на электронную копию статьи в папке проекта</t>
  </si>
  <si>
    <t>Конференции</t>
  </si>
  <si>
    <t>название конференции</t>
  </si>
  <si>
    <t>даты конференции</t>
  </si>
  <si>
    <t>город проведения</t>
  </si>
  <si>
    <t>название доклада</t>
  </si>
  <si>
    <t>ФИО докладчика</t>
  </si>
  <si>
    <t>ссылка на программу конференции в папке проекта</t>
  </si>
  <si>
    <t>Заявки на РИД</t>
  </si>
  <si>
    <t>номер заявки</t>
  </si>
  <si>
    <t>дата подачи заявки</t>
  </si>
  <si>
    <t>название заявки</t>
  </si>
  <si>
    <t>номер охранного документа (при наличии)</t>
  </si>
  <si>
    <t>ФИО патентообладателя</t>
  </si>
  <si>
    <t>ФИО авторов</t>
  </si>
  <si>
    <t>ссылка на электронную копию охранного документа в папке проекта</t>
  </si>
  <si>
    <t>Привлечение спонсоров</t>
  </si>
  <si>
    <t>компания</t>
  </si>
  <si>
    <t>дата обращения</t>
  </si>
  <si>
    <t>ссылка на спонсорский пакет (при наличии)</t>
  </si>
  <si>
    <t>спонсорская помощь</t>
  </si>
  <si>
    <t>Мероприятия по продвижению</t>
  </si>
  <si>
    <t>дата мероприятия</t>
  </si>
  <si>
    <t>названия</t>
  </si>
  <si>
    <t>место проведения</t>
  </si>
  <si>
    <t>ссылка на фото/видео отчёт в папке проекта</t>
  </si>
  <si>
    <t>Прочие мероприятия</t>
  </si>
  <si>
    <t>№</t>
  </si>
  <si>
    <t>Наименование товара</t>
  </si>
  <si>
    <t>Ссылка на товар</t>
  </si>
  <si>
    <t>Кол-во</t>
  </si>
  <si>
    <t>Единица измерения</t>
  </si>
  <si>
    <t>Цена за единицу, руб.</t>
  </si>
  <si>
    <t>Сумма, руб.</t>
  </si>
  <si>
    <t>ОКПД-2</t>
  </si>
  <si>
    <t>Техническое задание</t>
  </si>
  <si>
    <t>Источник
финансирования</t>
  </si>
  <si>
    <t>Выдано,
кол-во</t>
  </si>
  <si>
    <t>Бюджет проекта</t>
  </si>
  <si>
    <t>ЦПД</t>
  </si>
  <si>
    <t>Суммарный</t>
  </si>
  <si>
    <t>руб.</t>
  </si>
  <si>
    <t xml:space="preserve">– в т. ч. финансирование от ЦПД </t>
  </si>
  <si>
    <t>– в т. ч. финансирование от иных подразделений вуза</t>
  </si>
  <si>
    <t>– в т. ч. финансирование от заказчика</t>
  </si>
  <si>
    <t>– в т. ч. финансирование от партнёра/спонсора</t>
  </si>
  <si>
    <t>– в т. ч. личное финансирование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</si>
</sst>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dd&quot;.&quot;mm"/>
    <numFmt numFmtId="166" formatCode="dd.mm.yy"/>
    <numFmt numFmtId="167" formatCode="dd.mm"/>
    <numFmt numFmtId="168" formatCode="d.m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Roboto"/>
    </font>
    <font>
      <u/>
      <color rgb="FF000000"/>
      <name val="Roboto"/>
    </font>
    <font>
      <i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9.0"/>
      <color rgb="FF000000"/>
      <name val="&quot;Times New Roman&quot;"/>
    </font>
    <font>
      <sz val="9.0"/>
      <color rgb="FF000000"/>
      <name val="&quot;Times New Roman&quot;"/>
    </font>
    <font>
      <sz val="9.0"/>
      <color rgb="FF000000"/>
      <name val="Arial"/>
    </font>
    <font>
      <color rgb="FF000000"/>
      <name val="-apple-system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4D4D4D"/>
      <name val="Arial"/>
      <scheme val="minor"/>
    </font>
    <font>
      <sz val="10.0"/>
      <color rgb="FF333333"/>
      <name val="Arial"/>
      <scheme val="minor"/>
    </font>
    <font>
      <sz val="10.0"/>
      <color rgb="FF363636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E9E9E"/>
      </left>
      <right style="thin">
        <color rgb="FF9E9E9E"/>
      </right>
      <top style="thin">
        <color rgb="FF000000"/>
      </top>
      <bottom style="thin">
        <color rgb="FF9E9E9E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ill="1" applyFont="1">
      <alignment horizontal="left" readingOrder="0" shrinkToFit="0" vertical="center" wrapText="1"/>
    </xf>
    <xf borderId="3" fillId="3" fontId="0" numFmtId="0" xfId="0" applyAlignment="1" applyBorder="1" applyFill="1" applyFont="1">
      <alignment horizontal="left" readingOrder="0" shrinkToFit="0" wrapText="1"/>
    </xf>
    <xf borderId="1" fillId="3" fontId="0" numFmtId="0" xfId="0" applyAlignment="1" applyBorder="1" applyFill="1" applyFont="1">
      <alignment horizontal="left" readingOrder="0" shrinkToFit="0" wrapText="1"/>
    </xf>
    <xf borderId="1" fillId="2" fontId="4" numFmtId="0" xfId="0" applyAlignment="1" applyBorder="1" applyFill="1" applyFont="1">
      <alignment horizontal="left" readingOrder="0" vertical="center"/>
    </xf>
    <xf borderId="1" fillId="3" fontId="5" numFmtId="0" xfId="0" applyAlignment="1" applyBorder="1" applyFill="1" applyFont="1">
      <alignment horizontal="left" readingOrder="0" shrinkToFit="0" wrapText="1"/>
    </xf>
    <xf borderId="4" fillId="2" fontId="1" numFmtId="0" xfId="0" applyAlignment="1" applyBorder="1" applyFill="1" applyFont="1">
      <alignment horizontal="left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1" fillId="3" fontId="6" numFmtId="0" xfId="0" applyAlignment="1" applyBorder="1" applyFill="1" applyFont="1">
      <alignment horizontal="left" readingOrder="0" shrinkToFit="0" wrapText="1"/>
    </xf>
    <xf borderId="0" fillId="0" fontId="3" numFmtId="0" xfId="0" applyAlignment="1" applyFont="1">
      <alignment readingOrder="0"/>
    </xf>
    <xf borderId="2" fillId="3" fontId="5" numFmtId="0" xfId="0" applyAlignment="1" applyBorder="1" applyFill="1" applyFont="1">
      <alignment horizontal="left" readingOrder="0" shrinkToFit="0" wrapText="1"/>
    </xf>
    <xf borderId="3" fillId="0" fontId="3" numFmtId="164" xfId="0" applyAlignment="1" applyBorder="1" applyFont="1" applyNumberFormat="1">
      <alignment horizontal="left" readingOrder="0" shrinkToFit="0" vertical="center" wrapText="1"/>
    </xf>
    <xf borderId="4" fillId="2" fontId="1" numFmtId="0" xfId="0" applyAlignment="1" applyBorder="1" applyFill="1" applyFont="1">
      <alignment horizontal="left" readingOrder="0" vertical="center"/>
    </xf>
    <xf borderId="3" fillId="2" fontId="3" numFmtId="0" xfId="0" applyAlignment="1" applyBorder="1" applyFill="1" applyFont="1">
      <alignment horizontal="left" readingOrder="0" vertical="center"/>
    </xf>
    <xf borderId="3" fillId="0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ill="1" applyFont="1">
      <alignment horizontal="left" shrinkToFit="0" vertical="center" wrapText="1"/>
    </xf>
    <xf borderId="3" fillId="0" fontId="3" numFmtId="10" xfId="0" applyAlignment="1" applyBorder="1" applyFont="1" applyNumberFormat="1">
      <alignment horizontal="left" shrinkToFit="0" vertical="center" wrapText="1"/>
    </xf>
    <xf borderId="3" fillId="2" fontId="3" numFmtId="10" xfId="0" applyAlignment="1" applyBorder="1" applyFill="1" applyFont="1" applyNumberFormat="1">
      <alignment horizontal="left" shrinkToFit="0" vertical="center" wrapText="1"/>
    </xf>
    <xf borderId="0" fillId="2" fontId="1" numFmtId="0" xfId="0" applyAlignment="1" applyFill="1" applyFont="1">
      <alignment horizontal="left" readingOrder="0" vertical="center"/>
    </xf>
    <xf borderId="0" fillId="2" fontId="7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165" xfId="0" applyAlignment="1" applyFont="1" applyNumberFormat="1">
      <alignment horizontal="center" readingOrder="0" textRotation="90" vertical="center"/>
    </xf>
    <xf borderId="0" fillId="3" fontId="3" numFmtId="49" xfId="0" applyAlignment="1" applyFill="1" applyFont="1" applyNumberFormat="1">
      <alignment horizontal="right" readingOrder="0" vertical="center"/>
    </xf>
    <xf borderId="0" fillId="3" fontId="9" numFmtId="0" xfId="0" applyAlignment="1" applyFill="1" applyFont="1">
      <alignment shrinkToFit="0" wrapText="1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3" fontId="3" numFmtId="166" xfId="0" applyAlignment="1" applyFill="1" applyFont="1" applyNumberForma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3" fontId="9" numFmtId="49" xfId="0" applyAlignment="1" applyFill="1" applyFont="1" applyNumberFormat="1">
      <alignment horizontal="right" readingOrder="0"/>
    </xf>
    <xf borderId="0" fillId="3" fontId="9" numFmtId="0" xfId="0" applyAlignment="1" applyFill="1" applyFont="1">
      <alignment shrinkToFit="0" vertical="bottom" wrapText="1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3" fontId="9" numFmtId="166" xfId="0" applyFill="1" applyFont="1" applyNumberFormat="1"/>
    <xf borderId="0" fillId="2" fontId="9" numFmtId="0" xfId="0" applyFill="1" applyFont="1"/>
    <xf borderId="0" fillId="0" fontId="9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3" fontId="9" numFmtId="166" xfId="0" applyAlignment="1" applyFill="1" applyFont="1" applyNumberFormat="1">
      <alignment horizontal="center"/>
    </xf>
    <xf borderId="0" fillId="4" fontId="3" numFmtId="0" xfId="0" applyAlignment="1" applyFill="1" applyFont="1">
      <alignment horizontal="left" vertical="center"/>
    </xf>
    <xf borderId="0" fillId="0" fontId="11" numFmtId="0" xfId="0" applyAlignment="1" applyFont="1">
      <alignment shrinkToFit="0" vertical="bottom" wrapText="1"/>
    </xf>
    <xf borderId="0" fillId="3" fontId="3" numFmtId="167" xfId="0" applyAlignment="1" applyFill="1" applyFont="1" applyNumberFormat="1">
      <alignment horizontal="center" readingOrder="0" vertic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3" fontId="3" numFmtId="168" xfId="0" applyAlignment="1" applyFill="1" applyFont="1" applyNumberFormat="1">
      <alignment horizontal="center" readingOrder="0" vertical="center"/>
    </xf>
    <xf borderId="0" fillId="5" fontId="12" numFmtId="0" xfId="0" applyAlignment="1" applyFill="1" applyFont="1">
      <alignment readingOrder="0" shrinkToFit="0" vertical="bottom" wrapText="0"/>
    </xf>
    <xf borderId="0" fillId="3" fontId="11" numFmtId="0" xfId="0" applyAlignment="1" applyFill="1" applyFont="1">
      <alignment vertical="bottom"/>
    </xf>
    <xf borderId="0" fillId="0" fontId="13" numFmtId="0" xfId="0" applyAlignment="1" applyFont="1">
      <alignment vertical="bottom"/>
    </xf>
    <xf borderId="0" fillId="3" fontId="13" numFmtId="166" xfId="0" applyAlignment="1" applyFill="1" applyFont="1" applyNumberFormat="1">
      <alignment vertical="bottom"/>
    </xf>
    <xf borderId="0" fillId="2" fontId="13" numFmtId="0" xfId="0" applyAlignment="1" applyFill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164" xfId="0" applyAlignment="1" applyFont="1" applyNumberForma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164" xfId="0" applyAlignment="1" applyFont="1" applyNumberFormat="1">
      <alignment vertical="bottom"/>
    </xf>
    <xf borderId="0" fillId="0" fontId="13" numFmtId="166" xfId="0" applyAlignment="1" applyFont="1" applyNumberFormat="1">
      <alignment vertical="bottom"/>
    </xf>
    <xf borderId="0" fillId="0" fontId="13" numFmtId="166" xfId="0" applyAlignment="1" applyFont="1" applyNumberFormat="1">
      <alignment horizontal="center" vertical="bottom"/>
    </xf>
    <xf borderId="0" fillId="2" fontId="11" numFmtId="0" xfId="0" applyAlignment="1" applyFill="1" applyFont="1">
      <alignment vertical="bottom"/>
    </xf>
    <xf borderId="0" fillId="3" fontId="11" numFmtId="0" xfId="0" applyAlignment="1" applyFill="1" applyFont="1">
      <alignment readingOrder="0" shrinkToFit="0" wrapText="1"/>
    </xf>
    <xf borderId="0" fillId="0" fontId="13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9" numFmtId="166" xfId="0" applyAlignment="1" applyFont="1" applyNumberFormat="1">
      <alignment horizontal="center" vertical="bottom"/>
    </xf>
    <xf borderId="0" fillId="3" fontId="3" numFmtId="166" xfId="0" applyAlignment="1" applyFill="1" applyFont="1" applyNumberFormat="1">
      <alignment horizontal="center" readingOrder="0" vertical="center"/>
    </xf>
    <xf borderId="0" fillId="0" fontId="9" numFmtId="166" xfId="0" applyAlignment="1" applyFont="1" applyNumberFormat="1">
      <alignment vertical="bottom"/>
    </xf>
    <xf borderId="0" fillId="0" fontId="9" numFmtId="164" xfId="0" applyAlignment="1" applyFont="1" applyNumberFormat="1">
      <alignment horizontal="center" vertical="bottom"/>
    </xf>
    <xf borderId="0" fillId="2" fontId="9" numFmtId="0" xfId="0" applyAlignment="1" applyFill="1" applyFont="1">
      <alignment horizontal="center" vertical="bottom"/>
    </xf>
    <xf borderId="0" fillId="2" fontId="9" numFmtId="0" xfId="0" applyAlignment="1" applyFill="1" applyFont="1">
      <alignment vertical="bottom"/>
    </xf>
    <xf borderId="0" fillId="0" fontId="9" numFmtId="0" xfId="0" applyAlignment="1" applyFont="1">
      <alignment shrinkToFit="0" vertical="bottom" wrapText="0"/>
    </xf>
    <xf borderId="0" fillId="3" fontId="3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vertical="center"/>
    </xf>
    <xf borderId="3" fillId="3" fontId="8" numFmtId="0" xfId="0" applyAlignment="1" applyBorder="1" applyFill="1" applyFont="1">
      <alignment readingOrder="0"/>
    </xf>
    <xf borderId="3" fillId="0" fontId="14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0" fillId="3" fontId="3" numFmtId="0" xfId="0" applyAlignment="1" applyFill="1" applyFont="1">
      <alignment horizontal="left" readingOrder="0" vertical="center"/>
    </xf>
    <xf borderId="0" fillId="3" fontId="3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center" readingOrder="0" vertical="center"/>
    </xf>
    <xf borderId="3" fillId="0" fontId="15" numFmtId="0" xfId="0" applyAlignment="1" applyBorder="1" applyFont="1">
      <alignment readingOrder="0"/>
    </xf>
    <xf borderId="3" fillId="0" fontId="15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right" readingOrder="0"/>
    </xf>
    <xf borderId="0" fillId="0" fontId="3" numFmtId="0" xfId="0" applyFont="1"/>
    <xf borderId="7" fillId="0" fontId="16" numFmtId="0" xfId="0" applyAlignment="1" applyBorder="1" applyFont="1">
      <alignment readingOrder="0"/>
    </xf>
    <xf borderId="7" fillId="0" fontId="16" numFmtId="0" xfId="0" applyAlignment="1" applyBorder="1" applyFont="1">
      <alignment horizontal="center" readingOrder="0"/>
    </xf>
    <xf borderId="7" fillId="0" fontId="15" numFmtId="0" xfId="0" applyAlignment="1" applyBorder="1" applyFont="1">
      <alignment horizontal="center" readingOrder="0"/>
    </xf>
    <xf borderId="8" fillId="0" fontId="16" numFmtId="0" xfId="0" applyAlignment="1" applyBorder="1" applyFont="1">
      <alignment readingOrder="0"/>
    </xf>
    <xf borderId="8" fillId="0" fontId="15" numFmtId="0" xfId="0" applyAlignment="1" applyBorder="1" applyFont="1">
      <alignment horizontal="center" readingOrder="0"/>
    </xf>
    <xf borderId="0" fillId="0" fontId="3" numFmtId="0" xfId="0" applyFont="1"/>
    <xf borderId="0" fillId="3" fontId="17" numFmtId="0" xfId="0" applyAlignment="1" applyFill="1" applyFont="1">
      <alignment horizontal="left" readingOrder="0"/>
    </xf>
    <xf borderId="0" fillId="0" fontId="9" numFmtId="0" xfId="0" applyAlignment="1" applyFont="1">
      <alignment horizontal="left" readingOrder="0" vertical="center"/>
    </xf>
    <xf borderId="0" fillId="3" fontId="3" numFmtId="0" xfId="0" applyAlignment="1" applyFill="1" applyFont="1">
      <alignment horizontal="left" vertic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6" fontId="3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18" numFmtId="0" xfId="0" applyAlignment="1" applyFill="1" applyFont="1">
      <alignment horizontal="center" readingOrder="0" shrinkToFit="0" vertical="center" wrapText="0"/>
    </xf>
    <xf borderId="0" fillId="2" fontId="18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0" fillId="2" fontId="19" numFmtId="0" xfId="0" applyAlignment="1" applyFill="1" applyFont="1">
      <alignment horizontal="right" shrinkToFit="0" vertical="center" wrapText="0"/>
    </xf>
    <xf borderId="0" fillId="3" fontId="20" numFmtId="0" xfId="0" applyAlignment="1" applyFill="1" applyFont="1">
      <alignment horizontal="left" readingOrder="0" vertical="center"/>
    </xf>
    <xf borderId="0" fillId="2" fontId="19" numFmtId="0" xfId="0" applyAlignment="1" applyFill="1" applyFont="1">
      <alignment horizontal="center" shrinkToFit="0" vertical="center" wrapText="0"/>
    </xf>
    <xf borderId="0" fillId="2" fontId="19" numFmtId="0" xfId="0" applyAlignment="1" applyFill="1" applyFont="1">
      <alignment horizontal="left" readingOrder="0" shrinkToFit="0" vertical="center" wrapText="0"/>
    </xf>
    <xf borderId="0" fillId="3" fontId="0" numFmtId="0" xfId="0" applyAlignment="1" applyFill="1" applyFont="1">
      <alignment readingOrder="0"/>
    </xf>
    <xf borderId="0" fillId="0" fontId="21" numFmtId="0" xfId="0" applyAlignment="1" applyFont="1">
      <alignment horizontal="right" readingOrder="0" vertical="center"/>
    </xf>
    <xf borderId="0" fillId="3" fontId="21" numFmtId="0" xfId="0" applyAlignment="1" applyFill="1" applyFont="1">
      <alignment readingOrder="0"/>
    </xf>
    <xf borderId="0" fillId="2" fontId="19" numFmtId="9" xfId="0" applyAlignment="1" applyFill="1" applyFont="1" applyNumberFormat="1">
      <alignment horizontal="right" readingOrder="0" shrinkToFit="0" vertical="center" wrapText="0"/>
    </xf>
    <xf borderId="0" fillId="2" fontId="19" numFmtId="0" xfId="0" applyAlignment="1" applyFill="1" applyFont="1">
      <alignment horizontal="center" readingOrder="0" shrinkToFit="0" vertical="center" wrapText="0"/>
    </xf>
    <xf borderId="0" fillId="2" fontId="19" numFmtId="0" xfId="0" applyAlignment="1" applyFill="1" applyFont="1">
      <alignment horizontal="left" readingOrder="0" shrinkToFit="0" vertical="center" wrapText="1"/>
    </xf>
    <xf borderId="0" fillId="2" fontId="19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horizontal="left" readingOrder="0" vertical="center"/>
    </xf>
    <xf borderId="0" fillId="0" fontId="0" numFmtId="0" xfId="0" applyAlignment="1" applyFont="1">
      <alignment horizontal="right" readingOrder="0" vertical="center"/>
    </xf>
    <xf borderId="0" fillId="3" fontId="22" numFmtId="0" xfId="0" applyAlignment="1" applyFill="1" applyFont="1">
      <alignment horizontal="left" readingOrder="0" vertical="center"/>
    </xf>
    <xf borderId="0" fillId="2" fontId="0" numFmtId="0" xfId="0" applyAlignment="1" applyFill="1" applyFont="1">
      <alignment horizontal="left" readingOrder="0" shrinkToFit="0" vertical="center" wrapText="1"/>
    </xf>
    <xf borderId="0" fillId="2" fontId="19" numFmtId="0" xfId="0" applyAlignment="1" applyFill="1" applyFont="1">
      <alignment horizontal="right" readingOrder="0" shrinkToFit="0" vertical="center" wrapText="0"/>
    </xf>
    <xf borderId="0" fillId="2" fontId="19" numFmtId="0" xfId="0" applyAlignment="1" applyFill="1" applyFont="1">
      <alignment horizontal="left" shrinkToFit="0" vertical="center" wrapText="0"/>
    </xf>
    <xf borderId="0" fillId="3" fontId="19" numFmtId="0" xfId="0" applyAlignment="1" applyFill="1" applyFont="1">
      <alignment horizontal="left" readingOrder="0" shrinkToFit="0" vertical="center" wrapText="0"/>
    </xf>
    <xf borderId="0" fillId="0" fontId="19" numFmtId="0" xfId="0" applyAlignment="1" applyFont="1">
      <alignment horizontal="righ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19" numFmtId="0" xfId="0" applyAlignment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kd.mospolytech.ru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2.38"/>
    <col customWidth="1" min="3" max="3" width="21.88"/>
    <col customWidth="1" min="4" max="4" width="69.88"/>
  </cols>
  <sheetData>
    <row r="1">
      <c r="A1" s="1" t="s">
        <v>0</v>
      </c>
      <c r="B1" s="2"/>
      <c r="C1" s="3" t="s">
        <v>1</v>
      </c>
      <c r="D1" s="2"/>
    </row>
    <row r="2">
      <c r="A2" s="1" t="s">
        <v>2</v>
      </c>
      <c r="B2" s="2"/>
      <c r="C2" s="3"/>
      <c r="D2" s="2"/>
    </row>
    <row r="3">
      <c r="A3" s="1" t="s">
        <v>3</v>
      </c>
      <c r="B3" s="2"/>
      <c r="C3" s="3"/>
      <c r="D3" s="2"/>
    </row>
    <row r="4">
      <c r="A4" s="1" t="s">
        <v>4</v>
      </c>
      <c r="B4" s="2"/>
      <c r="C4" s="3"/>
      <c r="D4" s="2"/>
    </row>
    <row r="5">
      <c r="A5" s="1" t="s">
        <v>5</v>
      </c>
      <c r="B5" s="2"/>
      <c r="C5" s="4"/>
      <c r="D5" s="5"/>
    </row>
    <row r="6">
      <c r="A6" s="1" t="s">
        <v>6</v>
      </c>
      <c r="B6" s="2"/>
      <c r="C6" s="4" t="s">
        <v>7</v>
      </c>
      <c r="D6" s="5"/>
    </row>
    <row r="7">
      <c r="A7" s="1" t="s">
        <v>8</v>
      </c>
      <c r="B7" s="2"/>
      <c r="C7" s="6"/>
      <c r="D7" s="5"/>
    </row>
    <row r="8">
      <c r="A8" s="1" t="s">
        <v>9</v>
      </c>
      <c r="B8" s="2"/>
      <c r="C8" s="7" t="s">
        <v>10</v>
      </c>
      <c r="D8" s="2"/>
    </row>
    <row r="9">
      <c r="A9" s="8" t="s">
        <v>11</v>
      </c>
      <c r="B9" s="2"/>
      <c r="C9" s="9" t="s">
        <v>12</v>
      </c>
      <c r="D9" s="2"/>
    </row>
    <row r="10">
      <c r="A10" s="10" t="s">
        <v>13</v>
      </c>
      <c r="B10" s="5" t="s">
        <v>14</v>
      </c>
    </row>
    <row r="11">
      <c r="A11" s="11"/>
      <c r="B11" s="5" t="s">
        <v>15</v>
      </c>
      <c r="C11" s="9"/>
      <c r="D11" s="2"/>
    </row>
    <row r="12">
      <c r="A12" s="11"/>
      <c r="B12" s="5" t="s">
        <v>16</v>
      </c>
      <c r="C12" s="9"/>
      <c r="D12" s="2"/>
    </row>
    <row r="13">
      <c r="A13" s="11"/>
      <c r="B13" s="5" t="s">
        <v>17</v>
      </c>
      <c r="C13" s="9"/>
      <c r="D13" s="2"/>
    </row>
    <row r="14">
      <c r="A14" s="12"/>
      <c r="B14" s="5" t="s">
        <v>18</v>
      </c>
      <c r="C14" s="9"/>
      <c r="D14" s="2"/>
    </row>
    <row r="15">
      <c r="A15" s="10" t="s">
        <v>19</v>
      </c>
      <c r="B15" s="5" t="s">
        <v>14</v>
      </c>
      <c r="C15" s="13" t="s">
        <v>20</v>
      </c>
      <c r="D15" s="2"/>
    </row>
    <row r="16">
      <c r="A16" s="11"/>
      <c r="B16" s="5" t="s">
        <v>15</v>
      </c>
      <c r="C16" s="9"/>
      <c r="D16" s="2"/>
    </row>
    <row r="17">
      <c r="A17" s="11"/>
      <c r="B17" s="5" t="s">
        <v>16</v>
      </c>
      <c r="C17" s="9"/>
      <c r="D17" s="2"/>
    </row>
    <row r="18">
      <c r="A18" s="11"/>
      <c r="B18" s="5" t="s">
        <v>17</v>
      </c>
      <c r="C18" s="9"/>
      <c r="D18" s="2"/>
    </row>
    <row r="19">
      <c r="A19" s="12"/>
      <c r="B19" s="5" t="s">
        <v>18</v>
      </c>
      <c r="C19" s="9"/>
      <c r="D19" s="2"/>
    </row>
    <row r="20">
      <c r="A20" s="10" t="s">
        <v>21</v>
      </c>
      <c r="B20" s="5" t="s">
        <v>14</v>
      </c>
      <c r="C20" s="14" t="s">
        <v>22</v>
      </c>
      <c r="D20" s="15"/>
    </row>
    <row r="21">
      <c r="A21" s="11"/>
      <c r="B21" s="5" t="s">
        <v>15</v>
      </c>
      <c r="C21" s="14" t="s">
        <v>23</v>
      </c>
      <c r="D21" s="15"/>
    </row>
    <row r="22">
      <c r="A22" s="11"/>
      <c r="B22" s="5" t="s">
        <v>16</v>
      </c>
      <c r="C22" s="14" t="s">
        <v>24</v>
      </c>
      <c r="D22" s="15"/>
    </row>
    <row r="23">
      <c r="A23" s="11"/>
      <c r="B23" s="5" t="s">
        <v>17</v>
      </c>
      <c r="C23" s="14" t="s">
        <v>25</v>
      </c>
      <c r="D23" s="15"/>
    </row>
    <row r="24">
      <c r="A24" s="12"/>
      <c r="B24" s="5" t="s">
        <v>18</v>
      </c>
      <c r="C24" s="9"/>
      <c r="D24" s="2"/>
    </row>
    <row r="25">
      <c r="A25" s="10" t="s">
        <v>26</v>
      </c>
      <c r="B25" s="5" t="s">
        <v>14</v>
      </c>
      <c r="C25" s="14" t="s">
        <v>27</v>
      </c>
      <c r="D25" s="15"/>
    </row>
    <row r="26">
      <c r="A26" s="11"/>
      <c r="B26" s="5" t="s">
        <v>15</v>
      </c>
      <c r="C26" s="14" t="s">
        <v>28</v>
      </c>
      <c r="D26" s="15"/>
    </row>
    <row r="27">
      <c r="A27" s="11"/>
      <c r="B27" s="5" t="s">
        <v>16</v>
      </c>
      <c r="C27" s="14" t="s">
        <v>29</v>
      </c>
      <c r="D27" s="15"/>
    </row>
    <row r="28">
      <c r="A28" s="11"/>
      <c r="B28" s="5" t="s">
        <v>17</v>
      </c>
      <c r="C28" s="14" t="s">
        <v>30</v>
      </c>
      <c r="D28" s="15"/>
    </row>
    <row r="29">
      <c r="A29" s="12"/>
      <c r="B29" s="5" t="s">
        <v>18</v>
      </c>
      <c r="C29" s="9"/>
      <c r="D29" s="2"/>
    </row>
    <row r="30">
      <c r="A30" s="1" t="s">
        <v>31</v>
      </c>
      <c r="B30" s="2"/>
      <c r="C30" s="16">
        <v>44440.0</v>
      </c>
      <c r="D30" s="5"/>
    </row>
    <row r="31">
      <c r="A31" s="1" t="s">
        <v>32</v>
      </c>
      <c r="B31" s="2"/>
      <c r="C31" s="4" t="s">
        <v>33</v>
      </c>
      <c r="D31" s="5"/>
    </row>
    <row r="32">
      <c r="A32" s="1" t="s">
        <v>34</v>
      </c>
      <c r="B32" s="2"/>
      <c r="C32" s="4"/>
      <c r="D32" s="5"/>
    </row>
    <row r="33">
      <c r="A33" s="1" t="s">
        <v>35</v>
      </c>
      <c r="B33" s="2"/>
      <c r="C33" s="4" t="s">
        <v>36</v>
      </c>
      <c r="D33" s="5"/>
    </row>
    <row r="34">
      <c r="A34" s="1" t="s">
        <v>37</v>
      </c>
      <c r="B34" s="2"/>
      <c r="C34" s="3" t="s">
        <v>38</v>
      </c>
      <c r="D34" s="2"/>
    </row>
    <row r="35">
      <c r="A35" s="1" t="s">
        <v>39</v>
      </c>
      <c r="B35" s="2"/>
      <c r="C35" s="9"/>
      <c r="D35" s="2"/>
    </row>
    <row r="36">
      <c r="A36" s="17" t="s">
        <v>40</v>
      </c>
      <c r="B36" s="5" t="s">
        <v>14</v>
      </c>
      <c r="C36" s="9" t="s">
        <v>41</v>
      </c>
      <c r="D36" s="2"/>
    </row>
    <row r="37">
      <c r="A37" s="11"/>
      <c r="B37" s="5" t="s">
        <v>15</v>
      </c>
      <c r="C37" s="9"/>
      <c r="D37" s="2"/>
    </row>
    <row r="38">
      <c r="A38" s="11"/>
      <c r="B38" s="5" t="s">
        <v>16</v>
      </c>
      <c r="C38" s="9"/>
      <c r="D38" s="2"/>
    </row>
    <row r="39">
      <c r="A39" s="11"/>
      <c r="B39" s="5" t="s">
        <v>17</v>
      </c>
      <c r="C39" s="9"/>
      <c r="D39" s="2"/>
    </row>
    <row r="40">
      <c r="A40" s="11"/>
      <c r="B40" s="5" t="s">
        <v>18</v>
      </c>
      <c r="C40" s="9"/>
      <c r="D40" s="2"/>
    </row>
    <row r="41">
      <c r="A41" s="11"/>
      <c r="B41" s="18" t="s">
        <v>42</v>
      </c>
      <c r="C41" s="9"/>
      <c r="D41" s="2"/>
    </row>
    <row r="42">
      <c r="A42" s="11"/>
      <c r="B42" s="18" t="s">
        <v>43</v>
      </c>
      <c r="C42" s="9"/>
      <c r="D42" s="2"/>
    </row>
    <row r="43">
      <c r="A43" s="12"/>
      <c r="B43" s="18" t="s">
        <v>44</v>
      </c>
      <c r="C43" s="9"/>
      <c r="D43" s="2"/>
    </row>
    <row r="44">
      <c r="A44" s="1" t="s">
        <v>45</v>
      </c>
      <c r="B44" s="2"/>
      <c r="C44" s="19">
        <f>'Смета'!M2</f>
        <v>0</v>
      </c>
      <c r="D44" s="20"/>
    </row>
    <row r="45">
      <c r="A45" s="1" t="s">
        <v>46</v>
      </c>
      <c r="B45" s="2"/>
      <c r="C45" s="19">
        <f>'Смета'!M3</f>
        <v>0</v>
      </c>
      <c r="D45" s="20"/>
    </row>
    <row r="46">
      <c r="A46" s="1" t="s">
        <v>47</v>
      </c>
      <c r="B46" s="2"/>
      <c r="C46" s="19">
        <f>'Смета'!M5</f>
        <v>0</v>
      </c>
      <c r="D46" s="20"/>
    </row>
    <row r="47">
      <c r="A47" s="1" t="s">
        <v>48</v>
      </c>
      <c r="B47" s="2"/>
      <c r="C47" s="21" t="str">
        <f>IFERROR(C46/C44,"")</f>
        <v/>
      </c>
      <c r="D47" s="22"/>
    </row>
    <row r="48">
      <c r="A48" s="23"/>
      <c r="B48" s="24"/>
      <c r="C48" s="24"/>
      <c r="D48" s="24"/>
    </row>
    <row r="49">
      <c r="A49" s="23"/>
      <c r="B49" s="24"/>
      <c r="C49" s="24"/>
      <c r="D49" s="24"/>
    </row>
    <row r="50">
      <c r="A50" s="23"/>
      <c r="B50" s="24"/>
      <c r="C50" s="24"/>
      <c r="D50" s="24"/>
    </row>
  </sheetData>
  <mergeCells count="51">
    <mergeCell ref="A1:B1"/>
    <mergeCell ref="C1:D1"/>
    <mergeCell ref="A2:B2"/>
    <mergeCell ref="C2:D2"/>
    <mergeCell ref="A3:B3"/>
    <mergeCell ref="C3:D3"/>
    <mergeCell ref="C4:D4"/>
    <mergeCell ref="A4:B4"/>
    <mergeCell ref="A5:B5"/>
    <mergeCell ref="A6:B6"/>
    <mergeCell ref="A7:B7"/>
    <mergeCell ref="A8:B8"/>
    <mergeCell ref="C8:D8"/>
    <mergeCell ref="C9:D9"/>
    <mergeCell ref="C18:D18"/>
    <mergeCell ref="C19:D19"/>
    <mergeCell ref="C24:D24"/>
    <mergeCell ref="C29:D29"/>
    <mergeCell ref="C11:D11"/>
    <mergeCell ref="C12:D12"/>
    <mergeCell ref="C13:D13"/>
    <mergeCell ref="C14:D14"/>
    <mergeCell ref="C15:D15"/>
    <mergeCell ref="C16:D16"/>
    <mergeCell ref="C17:D17"/>
    <mergeCell ref="C37:D37"/>
    <mergeCell ref="C38:D38"/>
    <mergeCell ref="C39:D39"/>
    <mergeCell ref="C40:D40"/>
    <mergeCell ref="C41:D41"/>
    <mergeCell ref="C42:D42"/>
    <mergeCell ref="C43:D43"/>
    <mergeCell ref="A32:B32"/>
    <mergeCell ref="A33:B33"/>
    <mergeCell ref="A34:B34"/>
    <mergeCell ref="C34:D34"/>
    <mergeCell ref="A35:B35"/>
    <mergeCell ref="C35:D35"/>
    <mergeCell ref="C36:D36"/>
    <mergeCell ref="A36:A43"/>
    <mergeCell ref="A44:B44"/>
    <mergeCell ref="A45:B45"/>
    <mergeCell ref="A46:B46"/>
    <mergeCell ref="A47:B47"/>
    <mergeCell ref="A9:B9"/>
    <mergeCell ref="A10:A14"/>
    <mergeCell ref="A15:A19"/>
    <mergeCell ref="A20:A24"/>
    <mergeCell ref="A25:A29"/>
    <mergeCell ref="A30:B30"/>
    <mergeCell ref="A31:B31"/>
  </mergeCells>
  <dataValidations>
    <dataValidation type="list" allowBlank="1" showErrorMessage="1" sqref="C6">
      <formula1>"Стратегический,Научный,Индустриальный,Инициативный"</formula1>
    </dataValidation>
    <dataValidation type="list" allowBlank="1" showErrorMessage="1" sqref="C31">
      <formula1>"1 семестр,2 семестра"</formula1>
    </dataValidation>
  </dataValidations>
  <hyperlinks>
    <hyperlink r:id="rId2" ref="C15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Col="1"/>
  <cols>
    <col customWidth="1" min="1" max="1" width="5.0"/>
    <col customWidth="1" min="2" max="2" width="36.0"/>
    <col customWidth="1" min="3" max="3" width="31.5"/>
    <col customWidth="1" min="4" max="4" width="27.63"/>
    <col customWidth="1" min="5" max="5" width="14.75"/>
    <col customWidth="1" min="6" max="7" width="7.25"/>
    <col customWidth="1" min="8" max="8" width="5.5"/>
    <col customWidth="1" min="9" max="10" width="7.25"/>
    <col customWidth="1" min="11" max="11" width="5.5"/>
    <col customWidth="1" min="12" max="12" width="10.38"/>
    <col customWidth="1" min="13" max="285" width="2.13" outlineLevel="1"/>
  </cols>
  <sheetData>
    <row r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I1" s="25" t="s">
        <v>55</v>
      </c>
      <c r="L1" s="25" t="s">
        <v>56</v>
      </c>
      <c r="M1" s="26" t="s">
        <v>57</v>
      </c>
      <c r="N1" s="26" t="s">
        <v>58</v>
      </c>
      <c r="O1" s="26" t="s">
        <v>59</v>
      </c>
      <c r="P1" s="26" t="s">
        <v>60</v>
      </c>
      <c r="Q1" s="26" t="s">
        <v>61</v>
      </c>
      <c r="R1" s="26" t="s">
        <v>62</v>
      </c>
      <c r="S1" s="26" t="s">
        <v>63</v>
      </c>
      <c r="T1" s="26" t="s">
        <v>57</v>
      </c>
      <c r="U1" s="26" t="s">
        <v>58</v>
      </c>
      <c r="V1" s="26" t="s">
        <v>59</v>
      </c>
      <c r="W1" s="26" t="s">
        <v>60</v>
      </c>
      <c r="X1" s="26" t="s">
        <v>61</v>
      </c>
      <c r="Y1" s="26" t="s">
        <v>62</v>
      </c>
      <c r="Z1" s="26" t="s">
        <v>63</v>
      </c>
      <c r="AA1" s="26" t="s">
        <v>57</v>
      </c>
      <c r="AB1" s="26" t="s">
        <v>58</v>
      </c>
      <c r="AC1" s="26" t="s">
        <v>59</v>
      </c>
      <c r="AD1" s="26" t="s">
        <v>60</v>
      </c>
      <c r="AE1" s="26" t="s">
        <v>61</v>
      </c>
      <c r="AF1" s="26" t="s">
        <v>62</v>
      </c>
      <c r="AG1" s="26" t="s">
        <v>63</v>
      </c>
      <c r="AH1" s="26" t="s">
        <v>57</v>
      </c>
      <c r="AI1" s="26" t="s">
        <v>58</v>
      </c>
      <c r="AJ1" s="26" t="s">
        <v>59</v>
      </c>
      <c r="AK1" s="26" t="s">
        <v>60</v>
      </c>
      <c r="AL1" s="26" t="s">
        <v>61</v>
      </c>
      <c r="AM1" s="26" t="s">
        <v>62</v>
      </c>
      <c r="AN1" s="26" t="s">
        <v>63</v>
      </c>
      <c r="AO1" s="26" t="s">
        <v>57</v>
      </c>
      <c r="AP1" s="26" t="s">
        <v>58</v>
      </c>
      <c r="AQ1" s="26" t="s">
        <v>59</v>
      </c>
      <c r="AR1" s="26" t="s">
        <v>60</v>
      </c>
      <c r="AS1" s="26" t="s">
        <v>61</v>
      </c>
      <c r="AT1" s="26" t="s">
        <v>62</v>
      </c>
      <c r="AU1" s="26" t="s">
        <v>63</v>
      </c>
      <c r="AV1" s="26" t="s">
        <v>57</v>
      </c>
      <c r="AW1" s="26" t="s">
        <v>58</v>
      </c>
      <c r="AX1" s="26" t="s">
        <v>59</v>
      </c>
      <c r="AY1" s="26" t="s">
        <v>60</v>
      </c>
      <c r="AZ1" s="26" t="s">
        <v>61</v>
      </c>
      <c r="BA1" s="26" t="s">
        <v>62</v>
      </c>
      <c r="BB1" s="26" t="s">
        <v>63</v>
      </c>
      <c r="BC1" s="26" t="s">
        <v>57</v>
      </c>
      <c r="BD1" s="26" t="s">
        <v>58</v>
      </c>
      <c r="BE1" s="26" t="s">
        <v>59</v>
      </c>
      <c r="BF1" s="26" t="s">
        <v>60</v>
      </c>
      <c r="BG1" s="26" t="s">
        <v>61</v>
      </c>
      <c r="BH1" s="26" t="s">
        <v>62</v>
      </c>
      <c r="BI1" s="26" t="s">
        <v>63</v>
      </c>
      <c r="BJ1" s="26" t="s">
        <v>57</v>
      </c>
      <c r="BK1" s="26" t="s">
        <v>58</v>
      </c>
      <c r="BL1" s="26" t="s">
        <v>59</v>
      </c>
      <c r="BM1" s="26" t="s">
        <v>60</v>
      </c>
      <c r="BN1" s="26" t="s">
        <v>61</v>
      </c>
      <c r="BO1" s="26" t="s">
        <v>62</v>
      </c>
      <c r="BP1" s="26" t="s">
        <v>63</v>
      </c>
      <c r="BQ1" s="26" t="s">
        <v>57</v>
      </c>
      <c r="BR1" s="26" t="s">
        <v>58</v>
      </c>
      <c r="BS1" s="26" t="s">
        <v>59</v>
      </c>
      <c r="BT1" s="26" t="s">
        <v>60</v>
      </c>
      <c r="BU1" s="26" t="s">
        <v>61</v>
      </c>
      <c r="BV1" s="26" t="s">
        <v>62</v>
      </c>
      <c r="BW1" s="26" t="s">
        <v>63</v>
      </c>
      <c r="BX1" s="26" t="s">
        <v>57</v>
      </c>
      <c r="BY1" s="26" t="s">
        <v>58</v>
      </c>
      <c r="BZ1" s="26" t="s">
        <v>59</v>
      </c>
      <c r="CA1" s="26" t="s">
        <v>60</v>
      </c>
      <c r="CB1" s="26" t="s">
        <v>61</v>
      </c>
      <c r="CC1" s="26" t="s">
        <v>62</v>
      </c>
      <c r="CD1" s="26" t="s">
        <v>63</v>
      </c>
      <c r="CE1" s="26" t="s">
        <v>57</v>
      </c>
      <c r="CF1" s="26" t="s">
        <v>58</v>
      </c>
      <c r="CG1" s="26" t="s">
        <v>59</v>
      </c>
      <c r="CH1" s="26" t="s">
        <v>60</v>
      </c>
      <c r="CI1" s="26" t="s">
        <v>61</v>
      </c>
      <c r="CJ1" s="26" t="s">
        <v>62</v>
      </c>
      <c r="CK1" s="26" t="s">
        <v>63</v>
      </c>
      <c r="CL1" s="26" t="s">
        <v>57</v>
      </c>
      <c r="CM1" s="26" t="s">
        <v>58</v>
      </c>
      <c r="CN1" s="26" t="s">
        <v>59</v>
      </c>
      <c r="CO1" s="26" t="s">
        <v>60</v>
      </c>
      <c r="CP1" s="26" t="s">
        <v>61</v>
      </c>
      <c r="CQ1" s="26" t="s">
        <v>62</v>
      </c>
      <c r="CR1" s="26" t="s">
        <v>63</v>
      </c>
      <c r="CS1" s="26" t="s">
        <v>57</v>
      </c>
      <c r="CT1" s="26" t="s">
        <v>58</v>
      </c>
      <c r="CU1" s="26" t="s">
        <v>59</v>
      </c>
      <c r="CV1" s="26" t="s">
        <v>60</v>
      </c>
      <c r="CW1" s="26" t="s">
        <v>61</v>
      </c>
      <c r="CX1" s="26" t="s">
        <v>62</v>
      </c>
      <c r="CY1" s="26" t="s">
        <v>63</v>
      </c>
      <c r="CZ1" s="26" t="s">
        <v>57</v>
      </c>
      <c r="DA1" s="26" t="s">
        <v>58</v>
      </c>
      <c r="DB1" s="26" t="s">
        <v>59</v>
      </c>
      <c r="DC1" s="26" t="s">
        <v>60</v>
      </c>
      <c r="DD1" s="26" t="s">
        <v>61</v>
      </c>
      <c r="DE1" s="26" t="s">
        <v>62</v>
      </c>
      <c r="DF1" s="26" t="s">
        <v>63</v>
      </c>
      <c r="DG1" s="26" t="s">
        <v>57</v>
      </c>
      <c r="DH1" s="26" t="s">
        <v>58</v>
      </c>
      <c r="DI1" s="26" t="s">
        <v>59</v>
      </c>
      <c r="DJ1" s="26" t="s">
        <v>60</v>
      </c>
      <c r="DK1" s="26" t="s">
        <v>61</v>
      </c>
      <c r="DL1" s="26" t="s">
        <v>62</v>
      </c>
      <c r="DM1" s="26" t="s">
        <v>63</v>
      </c>
      <c r="DN1" s="26" t="s">
        <v>57</v>
      </c>
      <c r="DO1" s="26" t="s">
        <v>58</v>
      </c>
      <c r="DP1" s="26" t="s">
        <v>59</v>
      </c>
      <c r="DQ1" s="26" t="s">
        <v>60</v>
      </c>
      <c r="DR1" s="26" t="s">
        <v>61</v>
      </c>
      <c r="DS1" s="26" t="s">
        <v>62</v>
      </c>
      <c r="DT1" s="26" t="s">
        <v>63</v>
      </c>
      <c r="DU1" s="26" t="s">
        <v>57</v>
      </c>
      <c r="DV1" s="26" t="s">
        <v>58</v>
      </c>
      <c r="DW1" s="26" t="s">
        <v>59</v>
      </c>
      <c r="DX1" s="26" t="s">
        <v>60</v>
      </c>
      <c r="DY1" s="26" t="s">
        <v>61</v>
      </c>
      <c r="DZ1" s="26" t="s">
        <v>62</v>
      </c>
      <c r="EA1" s="26" t="s">
        <v>63</v>
      </c>
      <c r="EB1" s="26" t="s">
        <v>57</v>
      </c>
      <c r="EC1" s="26" t="s">
        <v>58</v>
      </c>
      <c r="ED1" s="26" t="s">
        <v>59</v>
      </c>
      <c r="EE1" s="26" t="s">
        <v>60</v>
      </c>
      <c r="EF1" s="26" t="s">
        <v>61</v>
      </c>
      <c r="EG1" s="26" t="s">
        <v>62</v>
      </c>
      <c r="EH1" s="26" t="s">
        <v>63</v>
      </c>
      <c r="EI1" s="26" t="s">
        <v>57</v>
      </c>
      <c r="EJ1" s="26" t="s">
        <v>58</v>
      </c>
      <c r="EK1" s="26" t="s">
        <v>59</v>
      </c>
      <c r="EL1" s="26" t="s">
        <v>60</v>
      </c>
      <c r="EM1" s="26" t="s">
        <v>61</v>
      </c>
      <c r="EN1" s="26" t="s">
        <v>62</v>
      </c>
      <c r="EO1" s="26" t="s">
        <v>63</v>
      </c>
      <c r="EP1" s="26" t="s">
        <v>57</v>
      </c>
      <c r="EQ1" s="26" t="s">
        <v>58</v>
      </c>
      <c r="ER1" s="26" t="s">
        <v>59</v>
      </c>
      <c r="ES1" s="26" t="s">
        <v>60</v>
      </c>
      <c r="ET1" s="26" t="s">
        <v>61</v>
      </c>
      <c r="EU1" s="26" t="s">
        <v>62</v>
      </c>
      <c r="EV1" s="26" t="s">
        <v>63</v>
      </c>
      <c r="EW1" s="26" t="s">
        <v>57</v>
      </c>
      <c r="EX1" s="26" t="s">
        <v>58</v>
      </c>
      <c r="EY1" s="26" t="s">
        <v>59</v>
      </c>
      <c r="EZ1" s="26" t="s">
        <v>60</v>
      </c>
      <c r="FA1" s="26" t="s">
        <v>61</v>
      </c>
      <c r="FB1" s="26" t="s">
        <v>62</v>
      </c>
      <c r="FC1" s="26" t="s">
        <v>63</v>
      </c>
      <c r="FD1" s="26" t="s">
        <v>57</v>
      </c>
      <c r="FE1" s="26" t="s">
        <v>58</v>
      </c>
      <c r="FF1" s="26" t="s">
        <v>59</v>
      </c>
      <c r="FG1" s="26" t="s">
        <v>60</v>
      </c>
      <c r="FH1" s="26" t="s">
        <v>61</v>
      </c>
      <c r="FI1" s="26" t="s">
        <v>62</v>
      </c>
      <c r="FJ1" s="26" t="s">
        <v>63</v>
      </c>
      <c r="FK1" s="26" t="s">
        <v>57</v>
      </c>
      <c r="FL1" s="26" t="s">
        <v>58</v>
      </c>
      <c r="FM1" s="26" t="s">
        <v>59</v>
      </c>
      <c r="FN1" s="26" t="s">
        <v>60</v>
      </c>
      <c r="FO1" s="26" t="s">
        <v>61</v>
      </c>
      <c r="FP1" s="26" t="s">
        <v>62</v>
      </c>
      <c r="FQ1" s="26" t="s">
        <v>63</v>
      </c>
      <c r="FR1" s="26" t="s">
        <v>57</v>
      </c>
      <c r="FS1" s="26" t="s">
        <v>58</v>
      </c>
      <c r="FT1" s="26" t="s">
        <v>59</v>
      </c>
      <c r="FU1" s="26" t="s">
        <v>60</v>
      </c>
      <c r="FV1" s="26" t="s">
        <v>61</v>
      </c>
      <c r="FW1" s="26" t="s">
        <v>62</v>
      </c>
      <c r="FX1" s="26" t="s">
        <v>63</v>
      </c>
      <c r="FY1" s="26" t="s">
        <v>57</v>
      </c>
      <c r="FZ1" s="26" t="s">
        <v>58</v>
      </c>
      <c r="GA1" s="26" t="s">
        <v>59</v>
      </c>
      <c r="GB1" s="26" t="s">
        <v>60</v>
      </c>
      <c r="GC1" s="26" t="s">
        <v>61</v>
      </c>
      <c r="GD1" s="26" t="s">
        <v>62</v>
      </c>
      <c r="GE1" s="26" t="s">
        <v>63</v>
      </c>
      <c r="GF1" s="26" t="s">
        <v>57</v>
      </c>
      <c r="GG1" s="26" t="s">
        <v>58</v>
      </c>
      <c r="GH1" s="26" t="s">
        <v>59</v>
      </c>
      <c r="GI1" s="26" t="s">
        <v>60</v>
      </c>
      <c r="GJ1" s="26" t="s">
        <v>61</v>
      </c>
      <c r="GK1" s="26" t="s">
        <v>62</v>
      </c>
      <c r="GL1" s="26" t="s">
        <v>63</v>
      </c>
      <c r="GM1" s="26" t="s">
        <v>57</v>
      </c>
      <c r="GN1" s="26" t="s">
        <v>58</v>
      </c>
      <c r="GO1" s="26" t="s">
        <v>59</v>
      </c>
      <c r="GP1" s="26" t="s">
        <v>60</v>
      </c>
      <c r="GQ1" s="26" t="s">
        <v>61</v>
      </c>
      <c r="GR1" s="26" t="s">
        <v>62</v>
      </c>
      <c r="GS1" s="26" t="s">
        <v>63</v>
      </c>
      <c r="GT1" s="26" t="s">
        <v>57</v>
      </c>
      <c r="GU1" s="26" t="s">
        <v>58</v>
      </c>
      <c r="GV1" s="26" t="s">
        <v>59</v>
      </c>
      <c r="GW1" s="26" t="s">
        <v>60</v>
      </c>
      <c r="GX1" s="26" t="s">
        <v>61</v>
      </c>
      <c r="GY1" s="26" t="s">
        <v>62</v>
      </c>
      <c r="GZ1" s="26" t="s">
        <v>63</v>
      </c>
      <c r="HA1" s="26" t="s">
        <v>57</v>
      </c>
      <c r="HB1" s="26" t="s">
        <v>58</v>
      </c>
      <c r="HC1" s="26" t="s">
        <v>59</v>
      </c>
      <c r="HD1" s="26" t="s">
        <v>60</v>
      </c>
      <c r="HE1" s="26" t="s">
        <v>61</v>
      </c>
      <c r="HF1" s="26" t="s">
        <v>62</v>
      </c>
      <c r="HG1" s="26" t="s">
        <v>63</v>
      </c>
      <c r="HH1" s="26" t="s">
        <v>57</v>
      </c>
      <c r="HI1" s="26" t="s">
        <v>58</v>
      </c>
      <c r="HJ1" s="26" t="s">
        <v>59</v>
      </c>
      <c r="HK1" s="26" t="s">
        <v>60</v>
      </c>
      <c r="HL1" s="26" t="s">
        <v>61</v>
      </c>
      <c r="HM1" s="26" t="s">
        <v>62</v>
      </c>
      <c r="HN1" s="26" t="s">
        <v>63</v>
      </c>
      <c r="HO1" s="26" t="s">
        <v>57</v>
      </c>
      <c r="HP1" s="26" t="s">
        <v>58</v>
      </c>
      <c r="HQ1" s="26" t="s">
        <v>59</v>
      </c>
      <c r="HR1" s="26" t="s">
        <v>60</v>
      </c>
      <c r="HS1" s="26" t="s">
        <v>61</v>
      </c>
      <c r="HT1" s="26" t="s">
        <v>62</v>
      </c>
      <c r="HU1" s="26" t="s">
        <v>63</v>
      </c>
      <c r="HV1" s="26" t="s">
        <v>57</v>
      </c>
      <c r="HW1" s="26" t="s">
        <v>58</v>
      </c>
      <c r="HX1" s="26" t="s">
        <v>59</v>
      </c>
      <c r="HY1" s="26" t="s">
        <v>60</v>
      </c>
      <c r="HZ1" s="26" t="s">
        <v>61</v>
      </c>
      <c r="IA1" s="26" t="s">
        <v>62</v>
      </c>
      <c r="IB1" s="26" t="s">
        <v>63</v>
      </c>
      <c r="IC1" s="26" t="s">
        <v>57</v>
      </c>
      <c r="ID1" s="26" t="s">
        <v>58</v>
      </c>
      <c r="IE1" s="26" t="s">
        <v>59</v>
      </c>
      <c r="IF1" s="26" t="s">
        <v>60</v>
      </c>
      <c r="IG1" s="26" t="s">
        <v>61</v>
      </c>
      <c r="IH1" s="26" t="s">
        <v>62</v>
      </c>
      <c r="II1" s="26" t="s">
        <v>63</v>
      </c>
      <c r="IJ1" s="26" t="s">
        <v>57</v>
      </c>
      <c r="IK1" s="26" t="s">
        <v>58</v>
      </c>
      <c r="IL1" s="26" t="s">
        <v>59</v>
      </c>
      <c r="IM1" s="26" t="s">
        <v>60</v>
      </c>
      <c r="IN1" s="26" t="s">
        <v>61</v>
      </c>
      <c r="IO1" s="26" t="s">
        <v>62</v>
      </c>
      <c r="IP1" s="26" t="s">
        <v>63</v>
      </c>
      <c r="IQ1" s="26" t="s">
        <v>57</v>
      </c>
      <c r="IR1" s="26" t="s">
        <v>58</v>
      </c>
      <c r="IS1" s="26" t="s">
        <v>59</v>
      </c>
      <c r="IT1" s="26" t="s">
        <v>60</v>
      </c>
      <c r="IU1" s="26" t="s">
        <v>61</v>
      </c>
      <c r="IV1" s="26" t="s">
        <v>62</v>
      </c>
      <c r="IW1" s="26" t="s">
        <v>63</v>
      </c>
      <c r="IX1" s="26" t="s">
        <v>57</v>
      </c>
      <c r="IY1" s="26" t="s">
        <v>58</v>
      </c>
      <c r="IZ1" s="26" t="s">
        <v>59</v>
      </c>
      <c r="JA1" s="26" t="s">
        <v>60</v>
      </c>
      <c r="JB1" s="26" t="s">
        <v>61</v>
      </c>
      <c r="JC1" s="26" t="s">
        <v>62</v>
      </c>
      <c r="JD1" s="26" t="s">
        <v>63</v>
      </c>
      <c r="JE1" s="26" t="s">
        <v>57</v>
      </c>
      <c r="JF1" s="26" t="s">
        <v>58</v>
      </c>
      <c r="JG1" s="26" t="s">
        <v>59</v>
      </c>
      <c r="JH1" s="26" t="s">
        <v>60</v>
      </c>
      <c r="JI1" s="26" t="s">
        <v>61</v>
      </c>
      <c r="JJ1" s="26" t="s">
        <v>62</v>
      </c>
      <c r="JK1" s="26" t="s">
        <v>63</v>
      </c>
      <c r="JL1" s="26" t="s">
        <v>57</v>
      </c>
      <c r="JM1" s="26" t="s">
        <v>58</v>
      </c>
      <c r="JN1" s="26" t="s">
        <v>59</v>
      </c>
      <c r="JO1" s="26" t="s">
        <v>60</v>
      </c>
      <c r="JP1" s="26" t="s">
        <v>61</v>
      </c>
      <c r="JQ1" s="26" t="s">
        <v>62</v>
      </c>
      <c r="JR1" s="26" t="s">
        <v>63</v>
      </c>
      <c r="JS1" s="26" t="s">
        <v>57</v>
      </c>
      <c r="JT1" s="26" t="s">
        <v>58</v>
      </c>
      <c r="JU1" s="26" t="s">
        <v>59</v>
      </c>
      <c r="JV1" s="26" t="s">
        <v>60</v>
      </c>
      <c r="JW1" s="26" t="s">
        <v>61</v>
      </c>
      <c r="JX1" s="26" t="s">
        <v>62</v>
      </c>
      <c r="JY1" s="26" t="s">
        <v>63</v>
      </c>
    </row>
    <row r="2">
      <c r="F2" s="25" t="s">
        <v>64</v>
      </c>
      <c r="G2" s="25" t="s">
        <v>65</v>
      </c>
      <c r="H2" s="25" t="s">
        <v>66</v>
      </c>
      <c r="I2" s="25" t="s">
        <v>64</v>
      </c>
      <c r="J2" s="25" t="s">
        <v>65</v>
      </c>
      <c r="K2" s="25" t="s">
        <v>66</v>
      </c>
      <c r="M2" s="27">
        <v>45537.0</v>
      </c>
      <c r="N2" s="27">
        <f t="shared" ref="N2:JY2" si="1">M2+1</f>
        <v>45538</v>
      </c>
      <c r="O2" s="27">
        <f t="shared" si="1"/>
        <v>45539</v>
      </c>
      <c r="P2" s="27">
        <f t="shared" si="1"/>
        <v>45540</v>
      </c>
      <c r="Q2" s="27">
        <f t="shared" si="1"/>
        <v>45541</v>
      </c>
      <c r="R2" s="27">
        <f t="shared" si="1"/>
        <v>45542</v>
      </c>
      <c r="S2" s="27">
        <f t="shared" si="1"/>
        <v>45543</v>
      </c>
      <c r="T2" s="27">
        <f t="shared" si="1"/>
        <v>45544</v>
      </c>
      <c r="U2" s="27">
        <f t="shared" si="1"/>
        <v>45545</v>
      </c>
      <c r="V2" s="27">
        <f t="shared" si="1"/>
        <v>45546</v>
      </c>
      <c r="W2" s="27">
        <f t="shared" si="1"/>
        <v>45547</v>
      </c>
      <c r="X2" s="27">
        <f t="shared" si="1"/>
        <v>45548</v>
      </c>
      <c r="Y2" s="27">
        <f t="shared" si="1"/>
        <v>45549</v>
      </c>
      <c r="Z2" s="27">
        <f t="shared" si="1"/>
        <v>45550</v>
      </c>
      <c r="AA2" s="27">
        <f t="shared" si="1"/>
        <v>45551</v>
      </c>
      <c r="AB2" s="27">
        <f t="shared" si="1"/>
        <v>45552</v>
      </c>
      <c r="AC2" s="27">
        <f t="shared" si="1"/>
        <v>45553</v>
      </c>
      <c r="AD2" s="27">
        <f t="shared" si="1"/>
        <v>45554</v>
      </c>
      <c r="AE2" s="27">
        <f t="shared" si="1"/>
        <v>45555</v>
      </c>
      <c r="AF2" s="27">
        <f t="shared" si="1"/>
        <v>45556</v>
      </c>
      <c r="AG2" s="27">
        <f t="shared" si="1"/>
        <v>45557</v>
      </c>
      <c r="AH2" s="27">
        <f t="shared" si="1"/>
        <v>45558</v>
      </c>
      <c r="AI2" s="27">
        <f t="shared" si="1"/>
        <v>45559</v>
      </c>
      <c r="AJ2" s="27">
        <f t="shared" si="1"/>
        <v>45560</v>
      </c>
      <c r="AK2" s="27">
        <f t="shared" si="1"/>
        <v>45561</v>
      </c>
      <c r="AL2" s="27">
        <f t="shared" si="1"/>
        <v>45562</v>
      </c>
      <c r="AM2" s="27">
        <f t="shared" si="1"/>
        <v>45563</v>
      </c>
      <c r="AN2" s="27">
        <f t="shared" si="1"/>
        <v>45564</v>
      </c>
      <c r="AO2" s="27">
        <f t="shared" si="1"/>
        <v>45565</v>
      </c>
      <c r="AP2" s="27">
        <f t="shared" si="1"/>
        <v>45566</v>
      </c>
      <c r="AQ2" s="27">
        <f t="shared" si="1"/>
        <v>45567</v>
      </c>
      <c r="AR2" s="27">
        <f t="shared" si="1"/>
        <v>45568</v>
      </c>
      <c r="AS2" s="27">
        <f t="shared" si="1"/>
        <v>45569</v>
      </c>
      <c r="AT2" s="27">
        <f t="shared" si="1"/>
        <v>45570</v>
      </c>
      <c r="AU2" s="27">
        <f t="shared" si="1"/>
        <v>45571</v>
      </c>
      <c r="AV2" s="27">
        <f t="shared" si="1"/>
        <v>45572</v>
      </c>
      <c r="AW2" s="27">
        <f t="shared" si="1"/>
        <v>45573</v>
      </c>
      <c r="AX2" s="27">
        <f t="shared" si="1"/>
        <v>45574</v>
      </c>
      <c r="AY2" s="27">
        <f t="shared" si="1"/>
        <v>45575</v>
      </c>
      <c r="AZ2" s="27">
        <f t="shared" si="1"/>
        <v>45576</v>
      </c>
      <c r="BA2" s="27">
        <f t="shared" si="1"/>
        <v>45577</v>
      </c>
      <c r="BB2" s="27">
        <f t="shared" si="1"/>
        <v>45578</v>
      </c>
      <c r="BC2" s="27">
        <f t="shared" si="1"/>
        <v>45579</v>
      </c>
      <c r="BD2" s="27">
        <f t="shared" si="1"/>
        <v>45580</v>
      </c>
      <c r="BE2" s="27">
        <f t="shared" si="1"/>
        <v>45581</v>
      </c>
      <c r="BF2" s="27">
        <f t="shared" si="1"/>
        <v>45582</v>
      </c>
      <c r="BG2" s="27">
        <f t="shared" si="1"/>
        <v>45583</v>
      </c>
      <c r="BH2" s="27">
        <f t="shared" si="1"/>
        <v>45584</v>
      </c>
      <c r="BI2" s="27">
        <f t="shared" si="1"/>
        <v>45585</v>
      </c>
      <c r="BJ2" s="27">
        <f t="shared" si="1"/>
        <v>45586</v>
      </c>
      <c r="BK2" s="27">
        <f t="shared" si="1"/>
        <v>45587</v>
      </c>
      <c r="BL2" s="27">
        <f t="shared" si="1"/>
        <v>45588</v>
      </c>
      <c r="BM2" s="27">
        <f t="shared" si="1"/>
        <v>45589</v>
      </c>
      <c r="BN2" s="27">
        <f t="shared" si="1"/>
        <v>45590</v>
      </c>
      <c r="BO2" s="27">
        <f t="shared" si="1"/>
        <v>45591</v>
      </c>
      <c r="BP2" s="27">
        <f t="shared" si="1"/>
        <v>45592</v>
      </c>
      <c r="BQ2" s="27">
        <f t="shared" si="1"/>
        <v>45593</v>
      </c>
      <c r="BR2" s="27">
        <f t="shared" si="1"/>
        <v>45594</v>
      </c>
      <c r="BS2" s="27">
        <f t="shared" si="1"/>
        <v>45595</v>
      </c>
      <c r="BT2" s="27">
        <f t="shared" si="1"/>
        <v>45596</v>
      </c>
      <c r="BU2" s="27">
        <f t="shared" si="1"/>
        <v>45597</v>
      </c>
      <c r="BV2" s="27">
        <f t="shared" si="1"/>
        <v>45598</v>
      </c>
      <c r="BW2" s="27">
        <f t="shared" si="1"/>
        <v>45599</v>
      </c>
      <c r="BX2" s="27">
        <f t="shared" si="1"/>
        <v>45600</v>
      </c>
      <c r="BY2" s="27">
        <f t="shared" si="1"/>
        <v>45601</v>
      </c>
      <c r="BZ2" s="27">
        <f t="shared" si="1"/>
        <v>45602</v>
      </c>
      <c r="CA2" s="27">
        <f t="shared" si="1"/>
        <v>45603</v>
      </c>
      <c r="CB2" s="27">
        <f t="shared" si="1"/>
        <v>45604</v>
      </c>
      <c r="CC2" s="27">
        <f t="shared" si="1"/>
        <v>45605</v>
      </c>
      <c r="CD2" s="27">
        <f t="shared" si="1"/>
        <v>45606</v>
      </c>
      <c r="CE2" s="27">
        <f t="shared" si="1"/>
        <v>45607</v>
      </c>
      <c r="CF2" s="27">
        <f t="shared" si="1"/>
        <v>45608</v>
      </c>
      <c r="CG2" s="27">
        <f t="shared" si="1"/>
        <v>45609</v>
      </c>
      <c r="CH2" s="27">
        <f t="shared" si="1"/>
        <v>45610</v>
      </c>
      <c r="CI2" s="27">
        <f t="shared" si="1"/>
        <v>45611</v>
      </c>
      <c r="CJ2" s="27">
        <f t="shared" si="1"/>
        <v>45612</v>
      </c>
      <c r="CK2" s="27">
        <f t="shared" si="1"/>
        <v>45613</v>
      </c>
      <c r="CL2" s="27">
        <f t="shared" si="1"/>
        <v>45614</v>
      </c>
      <c r="CM2" s="27">
        <f t="shared" si="1"/>
        <v>45615</v>
      </c>
      <c r="CN2" s="27">
        <f t="shared" si="1"/>
        <v>45616</v>
      </c>
      <c r="CO2" s="27">
        <f t="shared" si="1"/>
        <v>45617</v>
      </c>
      <c r="CP2" s="27">
        <f t="shared" si="1"/>
        <v>45618</v>
      </c>
      <c r="CQ2" s="27">
        <f t="shared" si="1"/>
        <v>45619</v>
      </c>
      <c r="CR2" s="27">
        <f t="shared" si="1"/>
        <v>45620</v>
      </c>
      <c r="CS2" s="27">
        <f t="shared" si="1"/>
        <v>45621</v>
      </c>
      <c r="CT2" s="27">
        <f t="shared" si="1"/>
        <v>45622</v>
      </c>
      <c r="CU2" s="27">
        <f t="shared" si="1"/>
        <v>45623</v>
      </c>
      <c r="CV2" s="27">
        <f t="shared" si="1"/>
        <v>45624</v>
      </c>
      <c r="CW2" s="27">
        <f t="shared" si="1"/>
        <v>45625</v>
      </c>
      <c r="CX2" s="27">
        <f t="shared" si="1"/>
        <v>45626</v>
      </c>
      <c r="CY2" s="27">
        <f t="shared" si="1"/>
        <v>45627</v>
      </c>
      <c r="CZ2" s="27">
        <f t="shared" si="1"/>
        <v>45628</v>
      </c>
      <c r="DA2" s="27">
        <f t="shared" si="1"/>
        <v>45629</v>
      </c>
      <c r="DB2" s="27">
        <f t="shared" si="1"/>
        <v>45630</v>
      </c>
      <c r="DC2" s="27">
        <f t="shared" si="1"/>
        <v>45631</v>
      </c>
      <c r="DD2" s="27">
        <f t="shared" si="1"/>
        <v>45632</v>
      </c>
      <c r="DE2" s="27">
        <f t="shared" si="1"/>
        <v>45633</v>
      </c>
      <c r="DF2" s="27">
        <f t="shared" si="1"/>
        <v>45634</v>
      </c>
      <c r="DG2" s="27">
        <f t="shared" si="1"/>
        <v>45635</v>
      </c>
      <c r="DH2" s="27">
        <f t="shared" si="1"/>
        <v>45636</v>
      </c>
      <c r="DI2" s="27">
        <f t="shared" si="1"/>
        <v>45637</v>
      </c>
      <c r="DJ2" s="27">
        <f t="shared" si="1"/>
        <v>45638</v>
      </c>
      <c r="DK2" s="27">
        <f t="shared" si="1"/>
        <v>45639</v>
      </c>
      <c r="DL2" s="27">
        <f t="shared" si="1"/>
        <v>45640</v>
      </c>
      <c r="DM2" s="27">
        <f t="shared" si="1"/>
        <v>45641</v>
      </c>
      <c r="DN2" s="27">
        <f t="shared" si="1"/>
        <v>45642</v>
      </c>
      <c r="DO2" s="27">
        <f t="shared" si="1"/>
        <v>45643</v>
      </c>
      <c r="DP2" s="27">
        <f t="shared" si="1"/>
        <v>45644</v>
      </c>
      <c r="DQ2" s="27">
        <f t="shared" si="1"/>
        <v>45645</v>
      </c>
      <c r="DR2" s="27">
        <f t="shared" si="1"/>
        <v>45646</v>
      </c>
      <c r="DS2" s="27">
        <f t="shared" si="1"/>
        <v>45647</v>
      </c>
      <c r="DT2" s="27">
        <f t="shared" si="1"/>
        <v>45648</v>
      </c>
      <c r="DU2" s="27">
        <f t="shared" si="1"/>
        <v>45649</v>
      </c>
      <c r="DV2" s="27">
        <f t="shared" si="1"/>
        <v>45650</v>
      </c>
      <c r="DW2" s="27">
        <f t="shared" si="1"/>
        <v>45651</v>
      </c>
      <c r="DX2" s="27">
        <f t="shared" si="1"/>
        <v>45652</v>
      </c>
      <c r="DY2" s="27">
        <f t="shared" si="1"/>
        <v>45653</v>
      </c>
      <c r="DZ2" s="27">
        <f t="shared" si="1"/>
        <v>45654</v>
      </c>
      <c r="EA2" s="27">
        <f t="shared" si="1"/>
        <v>45655</v>
      </c>
      <c r="EB2" s="27">
        <f t="shared" si="1"/>
        <v>45656</v>
      </c>
      <c r="EC2" s="27">
        <f t="shared" si="1"/>
        <v>45657</v>
      </c>
      <c r="ED2" s="27">
        <f t="shared" si="1"/>
        <v>45658</v>
      </c>
      <c r="EE2" s="27">
        <f t="shared" si="1"/>
        <v>45659</v>
      </c>
      <c r="EF2" s="27">
        <f t="shared" si="1"/>
        <v>45660</v>
      </c>
      <c r="EG2" s="27">
        <f t="shared" si="1"/>
        <v>45661</v>
      </c>
      <c r="EH2" s="27">
        <f t="shared" si="1"/>
        <v>45662</v>
      </c>
      <c r="EI2" s="27">
        <f t="shared" si="1"/>
        <v>45663</v>
      </c>
      <c r="EJ2" s="27">
        <f t="shared" si="1"/>
        <v>45664</v>
      </c>
      <c r="EK2" s="27">
        <f t="shared" si="1"/>
        <v>45665</v>
      </c>
      <c r="EL2" s="27">
        <f t="shared" si="1"/>
        <v>45666</v>
      </c>
      <c r="EM2" s="27">
        <f t="shared" si="1"/>
        <v>45667</v>
      </c>
      <c r="EN2" s="27">
        <f t="shared" si="1"/>
        <v>45668</v>
      </c>
      <c r="EO2" s="27">
        <f t="shared" si="1"/>
        <v>45669</v>
      </c>
      <c r="EP2" s="27">
        <f t="shared" si="1"/>
        <v>45670</v>
      </c>
      <c r="EQ2" s="27">
        <f t="shared" si="1"/>
        <v>45671</v>
      </c>
      <c r="ER2" s="27">
        <f t="shared" si="1"/>
        <v>45672</v>
      </c>
      <c r="ES2" s="27">
        <f t="shared" si="1"/>
        <v>45673</v>
      </c>
      <c r="ET2" s="27">
        <f t="shared" si="1"/>
        <v>45674</v>
      </c>
      <c r="EU2" s="27">
        <f t="shared" si="1"/>
        <v>45675</v>
      </c>
      <c r="EV2" s="27">
        <f t="shared" si="1"/>
        <v>45676</v>
      </c>
      <c r="EW2" s="27">
        <f t="shared" si="1"/>
        <v>45677</v>
      </c>
      <c r="EX2" s="27">
        <f t="shared" si="1"/>
        <v>45678</v>
      </c>
      <c r="EY2" s="27">
        <f t="shared" si="1"/>
        <v>45679</v>
      </c>
      <c r="EZ2" s="27">
        <f t="shared" si="1"/>
        <v>45680</v>
      </c>
      <c r="FA2" s="27">
        <f t="shared" si="1"/>
        <v>45681</v>
      </c>
      <c r="FB2" s="27">
        <f t="shared" si="1"/>
        <v>45682</v>
      </c>
      <c r="FC2" s="27">
        <f t="shared" si="1"/>
        <v>45683</v>
      </c>
      <c r="FD2" s="27">
        <f t="shared" si="1"/>
        <v>45684</v>
      </c>
      <c r="FE2" s="27">
        <f t="shared" si="1"/>
        <v>45685</v>
      </c>
      <c r="FF2" s="27">
        <f t="shared" si="1"/>
        <v>45686</v>
      </c>
      <c r="FG2" s="27">
        <f t="shared" si="1"/>
        <v>45687</v>
      </c>
      <c r="FH2" s="27">
        <f t="shared" si="1"/>
        <v>45688</v>
      </c>
      <c r="FI2" s="27">
        <f t="shared" si="1"/>
        <v>45689</v>
      </c>
      <c r="FJ2" s="27">
        <f t="shared" si="1"/>
        <v>45690</v>
      </c>
      <c r="FK2" s="27">
        <f t="shared" si="1"/>
        <v>45691</v>
      </c>
      <c r="FL2" s="27">
        <f t="shared" si="1"/>
        <v>45692</v>
      </c>
      <c r="FM2" s="27">
        <f t="shared" si="1"/>
        <v>45693</v>
      </c>
      <c r="FN2" s="27">
        <f t="shared" si="1"/>
        <v>45694</v>
      </c>
      <c r="FO2" s="27">
        <f t="shared" si="1"/>
        <v>45695</v>
      </c>
      <c r="FP2" s="27">
        <f t="shared" si="1"/>
        <v>45696</v>
      </c>
      <c r="FQ2" s="27">
        <f t="shared" si="1"/>
        <v>45697</v>
      </c>
      <c r="FR2" s="27">
        <f t="shared" si="1"/>
        <v>45698</v>
      </c>
      <c r="FS2" s="27">
        <f t="shared" si="1"/>
        <v>45699</v>
      </c>
      <c r="FT2" s="27">
        <f t="shared" si="1"/>
        <v>45700</v>
      </c>
      <c r="FU2" s="27">
        <f t="shared" si="1"/>
        <v>45701</v>
      </c>
      <c r="FV2" s="27">
        <f t="shared" si="1"/>
        <v>45702</v>
      </c>
      <c r="FW2" s="27">
        <f t="shared" si="1"/>
        <v>45703</v>
      </c>
      <c r="FX2" s="27">
        <f t="shared" si="1"/>
        <v>45704</v>
      </c>
      <c r="FY2" s="27">
        <f t="shared" si="1"/>
        <v>45705</v>
      </c>
      <c r="FZ2" s="27">
        <f t="shared" si="1"/>
        <v>45706</v>
      </c>
      <c r="GA2" s="27">
        <f t="shared" si="1"/>
        <v>45707</v>
      </c>
      <c r="GB2" s="27">
        <f t="shared" si="1"/>
        <v>45708</v>
      </c>
      <c r="GC2" s="27">
        <f t="shared" si="1"/>
        <v>45709</v>
      </c>
      <c r="GD2" s="27">
        <f t="shared" si="1"/>
        <v>45710</v>
      </c>
      <c r="GE2" s="27">
        <f t="shared" si="1"/>
        <v>45711</v>
      </c>
      <c r="GF2" s="27">
        <f t="shared" si="1"/>
        <v>45712</v>
      </c>
      <c r="GG2" s="27">
        <f t="shared" si="1"/>
        <v>45713</v>
      </c>
      <c r="GH2" s="27">
        <f t="shared" si="1"/>
        <v>45714</v>
      </c>
      <c r="GI2" s="27">
        <f t="shared" si="1"/>
        <v>45715</v>
      </c>
      <c r="GJ2" s="27">
        <f t="shared" si="1"/>
        <v>45716</v>
      </c>
      <c r="GK2" s="27">
        <f t="shared" si="1"/>
        <v>45717</v>
      </c>
      <c r="GL2" s="27">
        <f t="shared" si="1"/>
        <v>45718</v>
      </c>
      <c r="GM2" s="27">
        <f t="shared" si="1"/>
        <v>45719</v>
      </c>
      <c r="GN2" s="27">
        <f t="shared" si="1"/>
        <v>45720</v>
      </c>
      <c r="GO2" s="27">
        <f t="shared" si="1"/>
        <v>45721</v>
      </c>
      <c r="GP2" s="27">
        <f t="shared" si="1"/>
        <v>45722</v>
      </c>
      <c r="GQ2" s="27">
        <f t="shared" si="1"/>
        <v>45723</v>
      </c>
      <c r="GR2" s="27">
        <f t="shared" si="1"/>
        <v>45724</v>
      </c>
      <c r="GS2" s="27">
        <f t="shared" si="1"/>
        <v>45725</v>
      </c>
      <c r="GT2" s="27">
        <f t="shared" si="1"/>
        <v>45726</v>
      </c>
      <c r="GU2" s="27">
        <f t="shared" si="1"/>
        <v>45727</v>
      </c>
      <c r="GV2" s="27">
        <f t="shared" si="1"/>
        <v>45728</v>
      </c>
      <c r="GW2" s="27">
        <f t="shared" si="1"/>
        <v>45729</v>
      </c>
      <c r="GX2" s="27">
        <f t="shared" si="1"/>
        <v>45730</v>
      </c>
      <c r="GY2" s="27">
        <f t="shared" si="1"/>
        <v>45731</v>
      </c>
      <c r="GZ2" s="27">
        <f t="shared" si="1"/>
        <v>45732</v>
      </c>
      <c r="HA2" s="27">
        <f t="shared" si="1"/>
        <v>45733</v>
      </c>
      <c r="HB2" s="27">
        <f t="shared" si="1"/>
        <v>45734</v>
      </c>
      <c r="HC2" s="27">
        <f t="shared" si="1"/>
        <v>45735</v>
      </c>
      <c r="HD2" s="27">
        <f t="shared" si="1"/>
        <v>45736</v>
      </c>
      <c r="HE2" s="27">
        <f t="shared" si="1"/>
        <v>45737</v>
      </c>
      <c r="HF2" s="27">
        <f t="shared" si="1"/>
        <v>45738</v>
      </c>
      <c r="HG2" s="27">
        <f t="shared" si="1"/>
        <v>45739</v>
      </c>
      <c r="HH2" s="27">
        <f t="shared" si="1"/>
        <v>45740</v>
      </c>
      <c r="HI2" s="27">
        <f t="shared" si="1"/>
        <v>45741</v>
      </c>
      <c r="HJ2" s="27">
        <f t="shared" si="1"/>
        <v>45742</v>
      </c>
      <c r="HK2" s="27">
        <f t="shared" si="1"/>
        <v>45743</v>
      </c>
      <c r="HL2" s="27">
        <f t="shared" si="1"/>
        <v>45744</v>
      </c>
      <c r="HM2" s="27">
        <f t="shared" si="1"/>
        <v>45745</v>
      </c>
      <c r="HN2" s="27">
        <f t="shared" si="1"/>
        <v>45746</v>
      </c>
      <c r="HO2" s="27">
        <f t="shared" si="1"/>
        <v>45747</v>
      </c>
      <c r="HP2" s="27">
        <f t="shared" si="1"/>
        <v>45748</v>
      </c>
      <c r="HQ2" s="27">
        <f t="shared" si="1"/>
        <v>45749</v>
      </c>
      <c r="HR2" s="27">
        <f t="shared" si="1"/>
        <v>45750</v>
      </c>
      <c r="HS2" s="27">
        <f t="shared" si="1"/>
        <v>45751</v>
      </c>
      <c r="HT2" s="27">
        <f t="shared" si="1"/>
        <v>45752</v>
      </c>
      <c r="HU2" s="27">
        <f t="shared" si="1"/>
        <v>45753</v>
      </c>
      <c r="HV2" s="27">
        <f t="shared" si="1"/>
        <v>45754</v>
      </c>
      <c r="HW2" s="27">
        <f t="shared" si="1"/>
        <v>45755</v>
      </c>
      <c r="HX2" s="27">
        <f t="shared" si="1"/>
        <v>45756</v>
      </c>
      <c r="HY2" s="27">
        <f t="shared" si="1"/>
        <v>45757</v>
      </c>
      <c r="HZ2" s="27">
        <f t="shared" si="1"/>
        <v>45758</v>
      </c>
      <c r="IA2" s="27">
        <f t="shared" si="1"/>
        <v>45759</v>
      </c>
      <c r="IB2" s="27">
        <f t="shared" si="1"/>
        <v>45760</v>
      </c>
      <c r="IC2" s="27">
        <f t="shared" si="1"/>
        <v>45761</v>
      </c>
      <c r="ID2" s="27">
        <f t="shared" si="1"/>
        <v>45762</v>
      </c>
      <c r="IE2" s="27">
        <f t="shared" si="1"/>
        <v>45763</v>
      </c>
      <c r="IF2" s="27">
        <f t="shared" si="1"/>
        <v>45764</v>
      </c>
      <c r="IG2" s="27">
        <f t="shared" si="1"/>
        <v>45765</v>
      </c>
      <c r="IH2" s="27">
        <f t="shared" si="1"/>
        <v>45766</v>
      </c>
      <c r="II2" s="27">
        <f t="shared" si="1"/>
        <v>45767</v>
      </c>
      <c r="IJ2" s="27">
        <f t="shared" si="1"/>
        <v>45768</v>
      </c>
      <c r="IK2" s="27">
        <f t="shared" si="1"/>
        <v>45769</v>
      </c>
      <c r="IL2" s="27">
        <f t="shared" si="1"/>
        <v>45770</v>
      </c>
      <c r="IM2" s="27">
        <f t="shared" si="1"/>
        <v>45771</v>
      </c>
      <c r="IN2" s="27">
        <f t="shared" si="1"/>
        <v>45772</v>
      </c>
      <c r="IO2" s="27">
        <f t="shared" si="1"/>
        <v>45773</v>
      </c>
      <c r="IP2" s="27">
        <f t="shared" si="1"/>
        <v>45774</v>
      </c>
      <c r="IQ2" s="27">
        <f t="shared" si="1"/>
        <v>45775</v>
      </c>
      <c r="IR2" s="27">
        <f t="shared" si="1"/>
        <v>45776</v>
      </c>
      <c r="IS2" s="27">
        <f t="shared" si="1"/>
        <v>45777</v>
      </c>
      <c r="IT2" s="27">
        <f t="shared" si="1"/>
        <v>45778</v>
      </c>
      <c r="IU2" s="27">
        <f t="shared" si="1"/>
        <v>45779</v>
      </c>
      <c r="IV2" s="27">
        <f t="shared" si="1"/>
        <v>45780</v>
      </c>
      <c r="IW2" s="27">
        <f t="shared" si="1"/>
        <v>45781</v>
      </c>
      <c r="IX2" s="27">
        <f t="shared" si="1"/>
        <v>45782</v>
      </c>
      <c r="IY2" s="27">
        <f t="shared" si="1"/>
        <v>45783</v>
      </c>
      <c r="IZ2" s="27">
        <f t="shared" si="1"/>
        <v>45784</v>
      </c>
      <c r="JA2" s="27">
        <f t="shared" si="1"/>
        <v>45785</v>
      </c>
      <c r="JB2" s="27">
        <f t="shared" si="1"/>
        <v>45786</v>
      </c>
      <c r="JC2" s="27">
        <f t="shared" si="1"/>
        <v>45787</v>
      </c>
      <c r="JD2" s="27">
        <f t="shared" si="1"/>
        <v>45788</v>
      </c>
      <c r="JE2" s="27">
        <f t="shared" si="1"/>
        <v>45789</v>
      </c>
      <c r="JF2" s="27">
        <f t="shared" si="1"/>
        <v>45790</v>
      </c>
      <c r="JG2" s="27">
        <f t="shared" si="1"/>
        <v>45791</v>
      </c>
      <c r="JH2" s="27">
        <f t="shared" si="1"/>
        <v>45792</v>
      </c>
      <c r="JI2" s="27">
        <f t="shared" si="1"/>
        <v>45793</v>
      </c>
      <c r="JJ2" s="27">
        <f t="shared" si="1"/>
        <v>45794</v>
      </c>
      <c r="JK2" s="27">
        <f t="shared" si="1"/>
        <v>45795</v>
      </c>
      <c r="JL2" s="27">
        <f t="shared" si="1"/>
        <v>45796</v>
      </c>
      <c r="JM2" s="27">
        <f t="shared" si="1"/>
        <v>45797</v>
      </c>
      <c r="JN2" s="27">
        <f t="shared" si="1"/>
        <v>45798</v>
      </c>
      <c r="JO2" s="27">
        <f t="shared" si="1"/>
        <v>45799</v>
      </c>
      <c r="JP2" s="27">
        <f t="shared" si="1"/>
        <v>45800</v>
      </c>
      <c r="JQ2" s="27">
        <f t="shared" si="1"/>
        <v>45801</v>
      </c>
      <c r="JR2" s="27">
        <f t="shared" si="1"/>
        <v>45802</v>
      </c>
      <c r="JS2" s="27">
        <f t="shared" si="1"/>
        <v>45803</v>
      </c>
      <c r="JT2" s="27">
        <f t="shared" si="1"/>
        <v>45804</v>
      </c>
      <c r="JU2" s="27">
        <f t="shared" si="1"/>
        <v>45805</v>
      </c>
      <c r="JV2" s="27">
        <f t="shared" si="1"/>
        <v>45806</v>
      </c>
      <c r="JW2" s="27">
        <f t="shared" si="1"/>
        <v>45807</v>
      </c>
      <c r="JX2" s="27">
        <f t="shared" si="1"/>
        <v>45808</v>
      </c>
      <c r="JY2" s="27">
        <f t="shared" si="1"/>
        <v>45809</v>
      </c>
    </row>
    <row r="3">
      <c r="A3" s="28" t="s">
        <v>67</v>
      </c>
      <c r="B3" s="29" t="s">
        <v>68</v>
      </c>
      <c r="C3" s="30" t="s">
        <v>69</v>
      </c>
      <c r="D3" s="30" t="s">
        <v>69</v>
      </c>
      <c r="E3" s="31"/>
      <c r="F3" s="32"/>
      <c r="G3" s="32"/>
      <c r="H3" s="33" t="str">
        <f t="shared" ref="H3:H8" si="2">if(OR(F3="",G3=""),"",if(G3-F3=0,"",G3-F3))</f>
        <v/>
      </c>
      <c r="I3" s="32"/>
      <c r="J3" s="32"/>
      <c r="K3" s="33" t="str">
        <f t="shared" ref="K3:K8" si="3">if(OR(I3="",J3=""),"",if(J3-I3=0,"",J3-I3))</f>
        <v/>
      </c>
      <c r="L3" s="34" t="b">
        <v>0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</row>
    <row r="4">
      <c r="A4" s="28" t="s">
        <v>70</v>
      </c>
      <c r="B4" s="29" t="s">
        <v>71</v>
      </c>
      <c r="C4" s="30" t="s">
        <v>69</v>
      </c>
      <c r="D4" s="30" t="s">
        <v>69</v>
      </c>
      <c r="E4" s="31"/>
      <c r="F4" s="32"/>
      <c r="G4" s="32"/>
      <c r="H4" s="33" t="str">
        <f t="shared" si="2"/>
        <v/>
      </c>
      <c r="I4" s="32"/>
      <c r="J4" s="32"/>
      <c r="K4" s="33" t="str">
        <f t="shared" si="3"/>
        <v/>
      </c>
      <c r="L4" s="34" t="b">
        <v>0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</row>
    <row r="5">
      <c r="A5" s="28" t="s">
        <v>72</v>
      </c>
      <c r="B5" s="29" t="s">
        <v>73</v>
      </c>
      <c r="C5" s="30" t="s">
        <v>69</v>
      </c>
      <c r="D5" s="30" t="s">
        <v>69</v>
      </c>
      <c r="E5" s="31"/>
      <c r="F5" s="32"/>
      <c r="G5" s="32"/>
      <c r="H5" s="33" t="str">
        <f t="shared" si="2"/>
        <v/>
      </c>
      <c r="I5" s="32"/>
      <c r="J5" s="32"/>
      <c r="K5" s="33" t="str">
        <f t="shared" si="3"/>
        <v/>
      </c>
      <c r="L5" s="34" t="b">
        <v>0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</row>
    <row r="6">
      <c r="A6" s="28" t="s">
        <v>74</v>
      </c>
      <c r="B6" s="29" t="s">
        <v>75</v>
      </c>
      <c r="C6" s="30" t="s">
        <v>69</v>
      </c>
      <c r="D6" s="30" t="s">
        <v>69</v>
      </c>
      <c r="E6" s="31"/>
      <c r="F6" s="32"/>
      <c r="G6" s="32"/>
      <c r="H6" s="33" t="str">
        <f t="shared" si="2"/>
        <v/>
      </c>
      <c r="I6" s="32"/>
      <c r="J6" s="32"/>
      <c r="K6" s="33" t="str">
        <f t="shared" si="3"/>
        <v/>
      </c>
      <c r="L6" s="34" t="b">
        <v>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</row>
    <row r="7">
      <c r="A7" s="28" t="s">
        <v>76</v>
      </c>
      <c r="B7" s="29" t="s">
        <v>77</v>
      </c>
      <c r="C7" s="30" t="s">
        <v>69</v>
      </c>
      <c r="D7" s="30" t="s">
        <v>69</v>
      </c>
      <c r="E7" s="31"/>
      <c r="F7" s="32"/>
      <c r="G7" s="32"/>
      <c r="H7" s="33" t="str">
        <f t="shared" si="2"/>
        <v/>
      </c>
      <c r="I7" s="32"/>
      <c r="J7" s="32"/>
      <c r="K7" s="33" t="str">
        <f t="shared" si="3"/>
        <v/>
      </c>
      <c r="L7" s="36" t="b">
        <v>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</row>
    <row r="8">
      <c r="A8" s="28" t="s">
        <v>78</v>
      </c>
      <c r="B8" s="29" t="s">
        <v>79</v>
      </c>
      <c r="C8" s="30" t="s">
        <v>69</v>
      </c>
      <c r="D8" s="30" t="s">
        <v>69</v>
      </c>
      <c r="E8" s="31"/>
      <c r="F8" s="32"/>
      <c r="G8" s="32"/>
      <c r="H8" s="33" t="str">
        <f t="shared" si="2"/>
        <v/>
      </c>
      <c r="I8" s="32"/>
      <c r="J8" s="32"/>
      <c r="K8" s="33" t="str">
        <f t="shared" si="3"/>
        <v/>
      </c>
      <c r="L8" s="36" t="b">
        <v>0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</row>
    <row r="9">
      <c r="A9" s="28" t="s">
        <v>80</v>
      </c>
      <c r="B9" s="29" t="s">
        <v>81</v>
      </c>
      <c r="C9" s="30" t="s">
        <v>82</v>
      </c>
      <c r="D9" s="30" t="s">
        <v>82</v>
      </c>
      <c r="E9" s="31"/>
      <c r="F9" s="32"/>
      <c r="G9" s="32"/>
      <c r="H9" s="33"/>
      <c r="I9" s="32"/>
      <c r="J9" s="32"/>
      <c r="K9" s="33"/>
      <c r="L9" s="34" t="b">
        <v>1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</row>
    <row r="10">
      <c r="A10" s="28" t="s">
        <v>83</v>
      </c>
      <c r="B10" s="29" t="s">
        <v>84</v>
      </c>
      <c r="C10" s="30" t="s">
        <v>85</v>
      </c>
      <c r="D10" s="30" t="s">
        <v>85</v>
      </c>
      <c r="E10" s="31"/>
      <c r="F10" s="32"/>
      <c r="G10" s="32"/>
      <c r="H10" s="33" t="str">
        <f t="shared" ref="H10:H11" si="4">if(OR(F10="",G10=""),"",if(G10-F10=0,"",G10-F10))</f>
        <v/>
      </c>
      <c r="I10" s="32"/>
      <c r="J10" s="32"/>
      <c r="K10" s="33" t="str">
        <f t="shared" ref="K10:K11" si="5">if(OR(I10="",J10=""),"",if(J10-I10=0,"",J10-I10))</f>
        <v/>
      </c>
      <c r="L10" s="36" t="b">
        <v>0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</row>
    <row r="11">
      <c r="A11" s="28" t="s">
        <v>86</v>
      </c>
      <c r="B11" s="29" t="s">
        <v>87</v>
      </c>
      <c r="C11" s="30" t="s">
        <v>88</v>
      </c>
      <c r="D11" s="30" t="s">
        <v>88</v>
      </c>
      <c r="E11" s="31"/>
      <c r="F11" s="32"/>
      <c r="G11" s="32"/>
      <c r="H11" s="33" t="str">
        <f t="shared" si="4"/>
        <v/>
      </c>
      <c r="I11" s="32"/>
      <c r="J11" s="32"/>
      <c r="K11" s="33" t="str">
        <f t="shared" si="5"/>
        <v/>
      </c>
      <c r="L11" s="36" t="b">
        <v>0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</row>
    <row r="12">
      <c r="A12" s="37" t="s">
        <v>89</v>
      </c>
      <c r="B12" s="38" t="s">
        <v>90</v>
      </c>
      <c r="C12" s="39" t="s">
        <v>91</v>
      </c>
      <c r="D12" s="39" t="s">
        <v>91</v>
      </c>
      <c r="E12" s="40"/>
      <c r="F12" s="41"/>
      <c r="G12" s="41"/>
      <c r="H12" s="42"/>
      <c r="I12" s="41"/>
      <c r="J12" s="41"/>
      <c r="K12" s="42"/>
      <c r="L12" s="43" t="b">
        <v>0</v>
      </c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</row>
    <row r="13">
      <c r="A13" s="28" t="s">
        <v>92</v>
      </c>
      <c r="B13" s="29" t="s">
        <v>93</v>
      </c>
      <c r="C13" s="39" t="s">
        <v>91</v>
      </c>
      <c r="D13" s="39" t="s">
        <v>91</v>
      </c>
      <c r="E13" s="31"/>
      <c r="F13" s="32"/>
      <c r="G13" s="32"/>
      <c r="H13" s="33" t="str">
        <f t="shared" ref="H13:H52" si="6">if(OR(F13="",G13=""),"",if(G13-F13=0,"",G13-F13))</f>
        <v/>
      </c>
      <c r="I13" s="32"/>
      <c r="J13" s="32"/>
      <c r="K13" s="33" t="str">
        <f t="shared" ref="K13:K52" si="7">if(OR(I13="",J13=""),"",if(J13-I13=0,"",J13-I13))</f>
        <v/>
      </c>
      <c r="L13" s="36" t="b">
        <v>0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</row>
    <row r="14">
      <c r="A14" s="28" t="s">
        <v>94</v>
      </c>
      <c r="B14" s="29" t="s">
        <v>95</v>
      </c>
      <c r="C14" s="39" t="s">
        <v>69</v>
      </c>
      <c r="D14" s="39" t="s">
        <v>69</v>
      </c>
      <c r="E14" s="31"/>
      <c r="F14" s="32"/>
      <c r="G14" s="32"/>
      <c r="H14" s="33" t="str">
        <f t="shared" si="6"/>
        <v/>
      </c>
      <c r="I14" s="32"/>
      <c r="J14" s="32"/>
      <c r="K14" s="33" t="str">
        <f t="shared" si="7"/>
        <v/>
      </c>
      <c r="L14" s="36" t="b">
        <v>0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</row>
    <row r="15">
      <c r="A15" s="28" t="s">
        <v>96</v>
      </c>
      <c r="B15" s="29" t="s">
        <v>97</v>
      </c>
      <c r="C15" s="39" t="s">
        <v>69</v>
      </c>
      <c r="D15" s="39" t="s">
        <v>69</v>
      </c>
      <c r="E15" s="31"/>
      <c r="F15" s="32"/>
      <c r="G15" s="32"/>
      <c r="H15" s="33" t="str">
        <f t="shared" si="6"/>
        <v/>
      </c>
      <c r="I15" s="32"/>
      <c r="J15" s="32"/>
      <c r="K15" s="33" t="str">
        <f t="shared" si="7"/>
        <v/>
      </c>
      <c r="L15" s="36" t="b">
        <v>0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</row>
    <row r="16">
      <c r="A16" s="28" t="s">
        <v>98</v>
      </c>
      <c r="B16" s="38" t="s">
        <v>99</v>
      </c>
      <c r="C16" s="30" t="s">
        <v>100</v>
      </c>
      <c r="D16" s="30" t="s">
        <v>100</v>
      </c>
      <c r="E16" s="31"/>
      <c r="F16" s="32"/>
      <c r="G16" s="32"/>
      <c r="H16" s="33" t="str">
        <f t="shared" si="6"/>
        <v/>
      </c>
      <c r="I16" s="32"/>
      <c r="J16" s="32"/>
      <c r="K16" s="33" t="str">
        <f t="shared" si="7"/>
        <v/>
      </c>
      <c r="L16" s="36" t="b">
        <v>0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</row>
    <row r="17">
      <c r="A17" s="28" t="s">
        <v>101</v>
      </c>
      <c r="B17" s="38" t="s">
        <v>102</v>
      </c>
      <c r="C17" s="30" t="s">
        <v>91</v>
      </c>
      <c r="D17" s="30" t="s">
        <v>91</v>
      </c>
      <c r="E17" s="31"/>
      <c r="F17" s="32"/>
      <c r="G17" s="32"/>
      <c r="H17" s="33" t="str">
        <f t="shared" si="6"/>
        <v/>
      </c>
      <c r="I17" s="32"/>
      <c r="J17" s="32"/>
      <c r="K17" s="33" t="str">
        <f t="shared" si="7"/>
        <v/>
      </c>
      <c r="L17" s="34" t="b">
        <v>1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</row>
    <row r="18">
      <c r="A18" s="28" t="s">
        <v>103</v>
      </c>
      <c r="B18" s="29" t="s">
        <v>104</v>
      </c>
      <c r="C18" s="30" t="s">
        <v>100</v>
      </c>
      <c r="D18" s="30" t="s">
        <v>100</v>
      </c>
      <c r="E18" s="31"/>
      <c r="F18" s="32"/>
      <c r="G18" s="32"/>
      <c r="H18" s="33" t="str">
        <f t="shared" si="6"/>
        <v/>
      </c>
      <c r="I18" s="32"/>
      <c r="J18" s="32"/>
      <c r="K18" s="33" t="str">
        <f t="shared" si="7"/>
        <v/>
      </c>
      <c r="L18" s="36" t="b">
        <v>0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</row>
    <row r="19">
      <c r="A19" s="28" t="s">
        <v>105</v>
      </c>
      <c r="B19" s="38" t="s">
        <v>106</v>
      </c>
      <c r="C19" s="30" t="s">
        <v>107</v>
      </c>
      <c r="D19" s="30" t="s">
        <v>107</v>
      </c>
      <c r="E19" s="31"/>
      <c r="F19" s="32"/>
      <c r="G19" s="32"/>
      <c r="H19" s="33" t="str">
        <f t="shared" si="6"/>
        <v/>
      </c>
      <c r="I19" s="32"/>
      <c r="J19" s="32"/>
      <c r="K19" s="33" t="str">
        <f t="shared" si="7"/>
        <v/>
      </c>
      <c r="L19" s="36" t="b">
        <v>0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</row>
    <row r="20">
      <c r="A20" s="28" t="s">
        <v>108</v>
      </c>
      <c r="B20" s="38" t="s">
        <v>109</v>
      </c>
      <c r="C20" s="30" t="s">
        <v>110</v>
      </c>
      <c r="D20" s="30" t="s">
        <v>110</v>
      </c>
      <c r="E20" s="31"/>
      <c r="F20" s="32"/>
      <c r="G20" s="32"/>
      <c r="H20" s="33" t="str">
        <f t="shared" si="6"/>
        <v/>
      </c>
      <c r="I20" s="32"/>
      <c r="J20" s="32"/>
      <c r="K20" s="33" t="str">
        <f t="shared" si="7"/>
        <v/>
      </c>
      <c r="L20" s="34" t="b">
        <v>1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</row>
    <row r="21">
      <c r="A21" s="28" t="s">
        <v>111</v>
      </c>
      <c r="B21" s="38" t="s">
        <v>112</v>
      </c>
      <c r="C21" s="30" t="s">
        <v>91</v>
      </c>
      <c r="D21" s="30" t="s">
        <v>91</v>
      </c>
      <c r="E21" s="31"/>
      <c r="F21" s="32"/>
      <c r="G21" s="32"/>
      <c r="H21" s="33" t="str">
        <f t="shared" si="6"/>
        <v/>
      </c>
      <c r="I21" s="32"/>
      <c r="J21" s="32"/>
      <c r="K21" s="33" t="str">
        <f t="shared" si="7"/>
        <v/>
      </c>
      <c r="L21" s="34" t="b">
        <v>1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</row>
    <row r="22">
      <c r="A22" s="28" t="s">
        <v>113</v>
      </c>
      <c r="B22" s="38" t="s">
        <v>114</v>
      </c>
      <c r="C22" s="30" t="s">
        <v>91</v>
      </c>
      <c r="D22" s="30" t="s">
        <v>91</v>
      </c>
      <c r="E22" s="31"/>
      <c r="F22" s="32"/>
      <c r="G22" s="32"/>
      <c r="H22" s="33" t="str">
        <f t="shared" si="6"/>
        <v/>
      </c>
      <c r="I22" s="32"/>
      <c r="J22" s="32"/>
      <c r="K22" s="33" t="str">
        <f t="shared" si="7"/>
        <v/>
      </c>
      <c r="L22" s="36" t="b">
        <v>0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</row>
    <row r="23">
      <c r="A23" s="28" t="s">
        <v>115</v>
      </c>
      <c r="B23" s="38" t="s">
        <v>116</v>
      </c>
      <c r="C23" s="30" t="s">
        <v>100</v>
      </c>
      <c r="D23" s="30" t="s">
        <v>100</v>
      </c>
      <c r="E23" s="31"/>
      <c r="F23" s="32"/>
      <c r="G23" s="32"/>
      <c r="H23" s="33" t="str">
        <f t="shared" si="6"/>
        <v/>
      </c>
      <c r="I23" s="32"/>
      <c r="J23" s="32"/>
      <c r="K23" s="33" t="str">
        <f t="shared" si="7"/>
        <v/>
      </c>
      <c r="L23" s="36" t="b">
        <v>0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</row>
    <row r="24">
      <c r="A24" s="28" t="s">
        <v>117</v>
      </c>
      <c r="B24" s="38" t="s">
        <v>118</v>
      </c>
      <c r="C24" s="30" t="s">
        <v>100</v>
      </c>
      <c r="D24" s="30" t="s">
        <v>100</v>
      </c>
      <c r="E24" s="31"/>
      <c r="F24" s="32"/>
      <c r="G24" s="32"/>
      <c r="H24" s="33" t="str">
        <f t="shared" si="6"/>
        <v/>
      </c>
      <c r="I24" s="32"/>
      <c r="J24" s="32"/>
      <c r="K24" s="33" t="str">
        <f t="shared" si="7"/>
        <v/>
      </c>
      <c r="L24" s="36" t="b">
        <v>0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</row>
    <row r="25">
      <c r="A25" s="28" t="s">
        <v>119</v>
      </c>
      <c r="B25" s="45" t="s">
        <v>120</v>
      </c>
      <c r="C25" s="30" t="s">
        <v>100</v>
      </c>
      <c r="D25" s="30" t="s">
        <v>100</v>
      </c>
      <c r="E25" s="31"/>
      <c r="F25" s="32"/>
      <c r="G25" s="32"/>
      <c r="H25" s="33" t="str">
        <f t="shared" si="6"/>
        <v/>
      </c>
      <c r="I25" s="32"/>
      <c r="J25" s="32"/>
      <c r="K25" s="33" t="str">
        <f t="shared" si="7"/>
        <v/>
      </c>
      <c r="L25" s="36" t="b">
        <v>0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</row>
    <row r="26">
      <c r="A26" s="28" t="s">
        <v>121</v>
      </c>
      <c r="B26" s="45" t="s">
        <v>122</v>
      </c>
      <c r="C26" s="30" t="s">
        <v>100</v>
      </c>
      <c r="D26" s="30" t="s">
        <v>100</v>
      </c>
      <c r="E26" s="31"/>
      <c r="F26" s="32"/>
      <c r="G26" s="32"/>
      <c r="H26" s="33" t="str">
        <f t="shared" si="6"/>
        <v/>
      </c>
      <c r="I26" s="32"/>
      <c r="J26" s="32"/>
      <c r="K26" s="33" t="str">
        <f t="shared" si="7"/>
        <v/>
      </c>
      <c r="L26" s="36" t="b">
        <v>0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</row>
    <row r="27">
      <c r="A27" s="28" t="s">
        <v>123</v>
      </c>
      <c r="B27" s="46" t="s">
        <v>124</v>
      </c>
      <c r="C27" s="30" t="s">
        <v>100</v>
      </c>
      <c r="D27" s="30" t="s">
        <v>100</v>
      </c>
      <c r="E27" s="31"/>
      <c r="F27" s="32">
        <v>45551.0</v>
      </c>
      <c r="G27" s="32">
        <v>45558.0</v>
      </c>
      <c r="H27" s="33">
        <f t="shared" si="6"/>
        <v>7</v>
      </c>
      <c r="I27" s="47">
        <v>45551.0</v>
      </c>
      <c r="J27" s="47">
        <v>45558.0</v>
      </c>
      <c r="K27" s="33">
        <f t="shared" si="7"/>
        <v>7</v>
      </c>
      <c r="L27" s="34" t="b">
        <v>1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48"/>
      <c r="AB27" s="48"/>
      <c r="AC27" s="48"/>
      <c r="AD27" s="48"/>
      <c r="AE27" s="48"/>
      <c r="AF27" s="48"/>
      <c r="AG27" s="48"/>
      <c r="AH27" s="48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</row>
    <row r="28">
      <c r="A28" s="28" t="s">
        <v>125</v>
      </c>
      <c r="B28" s="45" t="s">
        <v>126</v>
      </c>
      <c r="C28" s="30" t="s">
        <v>127</v>
      </c>
      <c r="D28" s="30" t="s">
        <v>127</v>
      </c>
      <c r="E28" s="31"/>
      <c r="F28" s="32">
        <v>45551.0</v>
      </c>
      <c r="G28" s="32">
        <v>45558.0</v>
      </c>
      <c r="H28" s="33">
        <f t="shared" si="6"/>
        <v>7</v>
      </c>
      <c r="I28" s="47">
        <v>45551.0</v>
      </c>
      <c r="J28" s="47">
        <v>45558.0</v>
      </c>
      <c r="K28" s="33">
        <f t="shared" si="7"/>
        <v>7</v>
      </c>
      <c r="L28" s="34" t="b">
        <v>1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48"/>
      <c r="AB28" s="48"/>
      <c r="AC28" s="48"/>
      <c r="AD28" s="48"/>
      <c r="AE28" s="48"/>
      <c r="AF28" s="48"/>
      <c r="AG28" s="48"/>
      <c r="AH28" s="48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</row>
    <row r="29">
      <c r="A29" s="28" t="s">
        <v>128</v>
      </c>
      <c r="B29" s="45" t="s">
        <v>129</v>
      </c>
      <c r="C29" s="30" t="s">
        <v>127</v>
      </c>
      <c r="D29" s="30" t="s">
        <v>127</v>
      </c>
      <c r="E29" s="31"/>
      <c r="F29" s="32">
        <v>45551.0</v>
      </c>
      <c r="G29" s="32">
        <v>45558.0</v>
      </c>
      <c r="H29" s="33">
        <f t="shared" si="6"/>
        <v>7</v>
      </c>
      <c r="I29" s="32">
        <v>45551.0</v>
      </c>
      <c r="J29" s="32">
        <v>45558.0</v>
      </c>
      <c r="K29" s="33">
        <f t="shared" si="7"/>
        <v>7</v>
      </c>
      <c r="L29" s="34" t="b">
        <v>1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48"/>
      <c r="AB29" s="48"/>
      <c r="AC29" s="48"/>
      <c r="AD29" s="48"/>
      <c r="AE29" s="48"/>
      <c r="AF29" s="48"/>
      <c r="AG29" s="48"/>
      <c r="AH29" s="48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</row>
    <row r="30">
      <c r="A30" s="28" t="s">
        <v>130</v>
      </c>
      <c r="B30" s="49" t="s">
        <v>131</v>
      </c>
      <c r="C30" s="30" t="s">
        <v>107</v>
      </c>
      <c r="D30" s="30" t="s">
        <v>107</v>
      </c>
      <c r="E30" s="31"/>
      <c r="F30" s="32">
        <v>45551.0</v>
      </c>
      <c r="G30" s="32">
        <v>45558.0</v>
      </c>
      <c r="H30" s="33">
        <f t="shared" si="6"/>
        <v>7</v>
      </c>
      <c r="I30" s="32">
        <v>45551.0</v>
      </c>
      <c r="J30" s="32">
        <v>45558.0</v>
      </c>
      <c r="K30" s="33">
        <f t="shared" si="7"/>
        <v>7</v>
      </c>
      <c r="L30" s="34" t="b">
        <v>1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8"/>
      <c r="AB30" s="48"/>
      <c r="AC30" s="48"/>
      <c r="AD30" s="48"/>
      <c r="AE30" s="48"/>
      <c r="AF30" s="48"/>
      <c r="AG30" s="48"/>
      <c r="AH30" s="48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</row>
    <row r="31">
      <c r="A31" s="28" t="s">
        <v>132</v>
      </c>
      <c r="B31" s="49" t="s">
        <v>133</v>
      </c>
      <c r="C31" s="30" t="s">
        <v>88</v>
      </c>
      <c r="D31" s="30" t="s">
        <v>88</v>
      </c>
      <c r="E31" s="31"/>
      <c r="F31" s="32">
        <v>45551.0</v>
      </c>
      <c r="G31" s="32">
        <v>45558.0</v>
      </c>
      <c r="H31" s="33">
        <f t="shared" si="6"/>
        <v>7</v>
      </c>
      <c r="I31" s="32">
        <v>45551.0</v>
      </c>
      <c r="J31" s="32">
        <v>45558.0</v>
      </c>
      <c r="K31" s="33">
        <f t="shared" si="7"/>
        <v>7</v>
      </c>
      <c r="L31" s="34" t="b">
        <v>1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48"/>
      <c r="AB31" s="48"/>
      <c r="AC31" s="48"/>
      <c r="AD31" s="48"/>
      <c r="AE31" s="48"/>
      <c r="AF31" s="48"/>
      <c r="AG31" s="48"/>
      <c r="AH31" s="48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</row>
    <row r="32">
      <c r="A32" s="28" t="s">
        <v>134</v>
      </c>
      <c r="B32" s="49" t="s">
        <v>135</v>
      </c>
      <c r="C32" s="30" t="s">
        <v>127</v>
      </c>
      <c r="D32" s="30" t="s">
        <v>127</v>
      </c>
      <c r="E32" s="31"/>
      <c r="F32" s="50">
        <v>45558.0</v>
      </c>
      <c r="G32" s="32">
        <v>45565.0</v>
      </c>
      <c r="H32" s="33">
        <f t="shared" si="6"/>
        <v>7</v>
      </c>
      <c r="I32" s="50">
        <v>45558.0</v>
      </c>
      <c r="J32" s="32">
        <v>45565.0</v>
      </c>
      <c r="K32" s="33">
        <f t="shared" si="7"/>
        <v>7</v>
      </c>
      <c r="L32" s="34" t="b">
        <v>1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48"/>
      <c r="AI32" s="48"/>
      <c r="AJ32" s="48"/>
      <c r="AK32" s="48"/>
      <c r="AL32" s="48"/>
      <c r="AM32" s="48"/>
      <c r="AN32" s="48"/>
      <c r="AO32" s="48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</row>
    <row r="33">
      <c r="A33" s="28" t="s">
        <v>136</v>
      </c>
      <c r="B33" s="51" t="s">
        <v>137</v>
      </c>
      <c r="C33" s="30" t="s">
        <v>107</v>
      </c>
      <c r="D33" s="30" t="s">
        <v>107</v>
      </c>
      <c r="E33" s="31"/>
      <c r="F33" s="50">
        <v>45558.0</v>
      </c>
      <c r="G33" s="32">
        <v>45565.0</v>
      </c>
      <c r="H33" s="33">
        <f t="shared" si="6"/>
        <v>7</v>
      </c>
      <c r="I33" s="50">
        <v>45558.0</v>
      </c>
      <c r="J33" s="32">
        <v>45565.0</v>
      </c>
      <c r="K33" s="33">
        <f t="shared" si="7"/>
        <v>7</v>
      </c>
      <c r="L33" s="34" t="b">
        <v>1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48"/>
      <c r="AI33" s="48"/>
      <c r="AJ33" s="48"/>
      <c r="AK33" s="48"/>
      <c r="AL33" s="48"/>
      <c r="AM33" s="48"/>
      <c r="AN33" s="48"/>
      <c r="AO33" s="48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</row>
    <row r="34">
      <c r="A34" s="28" t="s">
        <v>138</v>
      </c>
      <c r="B34" s="51" t="s">
        <v>139</v>
      </c>
      <c r="C34" s="30" t="s">
        <v>69</v>
      </c>
      <c r="D34" s="30" t="s">
        <v>127</v>
      </c>
      <c r="E34" s="31"/>
      <c r="F34" s="32">
        <v>45564.0</v>
      </c>
      <c r="G34" s="32">
        <v>45568.0</v>
      </c>
      <c r="H34" s="33">
        <f t="shared" si="6"/>
        <v>4</v>
      </c>
      <c r="I34" s="32">
        <v>45564.0</v>
      </c>
      <c r="J34" s="32">
        <v>45572.0</v>
      </c>
      <c r="K34" s="33">
        <f t="shared" si="7"/>
        <v>8</v>
      </c>
      <c r="L34" s="34" t="b">
        <v>1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48"/>
      <c r="AO34" s="48"/>
      <c r="AP34" s="48"/>
      <c r="AQ34" s="48"/>
      <c r="AR34" s="48"/>
      <c r="AS34" s="48"/>
      <c r="AT34" s="48"/>
      <c r="AU34" s="48"/>
      <c r="AV34" s="48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</row>
    <row r="35">
      <c r="A35" s="28" t="s">
        <v>138</v>
      </c>
      <c r="B35" s="51" t="s">
        <v>139</v>
      </c>
      <c r="C35" s="30" t="s">
        <v>69</v>
      </c>
      <c r="D35" s="30" t="s">
        <v>140</v>
      </c>
      <c r="E35" s="31"/>
      <c r="F35" s="32">
        <v>45564.0</v>
      </c>
      <c r="G35" s="32">
        <v>45572.0</v>
      </c>
      <c r="H35" s="33">
        <f t="shared" si="6"/>
        <v>8</v>
      </c>
      <c r="I35" s="32">
        <v>45564.0</v>
      </c>
      <c r="J35" s="32">
        <v>45572.0</v>
      </c>
      <c r="K35" s="33">
        <f t="shared" si="7"/>
        <v>8</v>
      </c>
      <c r="L35" s="34" t="b">
        <v>1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48"/>
      <c r="AO35" s="48"/>
      <c r="AP35" s="48"/>
      <c r="AQ35" s="48"/>
      <c r="AR35" s="48"/>
      <c r="AS35" s="48"/>
      <c r="AT35" s="48"/>
      <c r="AU35" s="48"/>
      <c r="AV35" s="48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</row>
    <row r="36">
      <c r="A36" s="28" t="s">
        <v>138</v>
      </c>
      <c r="B36" s="51" t="s">
        <v>139</v>
      </c>
      <c r="C36" s="30" t="s">
        <v>69</v>
      </c>
      <c r="D36" s="30" t="s">
        <v>82</v>
      </c>
      <c r="E36" s="31"/>
      <c r="F36" s="32">
        <v>45564.0</v>
      </c>
      <c r="G36" s="32">
        <v>45572.0</v>
      </c>
      <c r="H36" s="33">
        <f t="shared" si="6"/>
        <v>8</v>
      </c>
      <c r="I36" s="32">
        <v>45564.0</v>
      </c>
      <c r="J36" s="32">
        <v>45572.0</v>
      </c>
      <c r="K36" s="33">
        <f t="shared" si="7"/>
        <v>8</v>
      </c>
      <c r="L36" s="34" t="b">
        <v>1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48"/>
      <c r="AO36" s="48"/>
      <c r="AP36" s="48"/>
      <c r="AQ36" s="48"/>
      <c r="AR36" s="48"/>
      <c r="AS36" s="48"/>
      <c r="AT36" s="48"/>
      <c r="AU36" s="48"/>
      <c r="AV36" s="48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</row>
    <row r="37">
      <c r="A37" s="28" t="s">
        <v>141</v>
      </c>
      <c r="B37" s="52" t="s">
        <v>142</v>
      </c>
      <c r="C37" s="30" t="s">
        <v>107</v>
      </c>
      <c r="D37" s="30" t="s">
        <v>88</v>
      </c>
      <c r="E37" s="31"/>
      <c r="F37" s="32">
        <v>45564.0</v>
      </c>
      <c r="G37" s="32">
        <v>45572.0</v>
      </c>
      <c r="H37" s="33">
        <f t="shared" si="6"/>
        <v>8</v>
      </c>
      <c r="I37" s="32">
        <v>45564.0</v>
      </c>
      <c r="J37" s="32">
        <v>45572.0</v>
      </c>
      <c r="K37" s="33">
        <f t="shared" si="7"/>
        <v>8</v>
      </c>
      <c r="L37" s="34" t="b">
        <v>1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48"/>
      <c r="AO37" s="48"/>
      <c r="AP37" s="48"/>
      <c r="AQ37" s="48"/>
      <c r="AR37" s="48"/>
      <c r="AS37" s="48"/>
      <c r="AT37" s="48"/>
      <c r="AU37" s="48"/>
      <c r="AV37" s="48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</row>
    <row r="38">
      <c r="A38" s="28" t="s">
        <v>143</v>
      </c>
      <c r="B38" s="53" t="s">
        <v>144</v>
      </c>
      <c r="C38" s="30" t="s">
        <v>145</v>
      </c>
      <c r="D38" s="30" t="s">
        <v>145</v>
      </c>
      <c r="E38" s="31"/>
      <c r="F38" s="32">
        <v>45563.0</v>
      </c>
      <c r="G38" s="32">
        <v>45566.0</v>
      </c>
      <c r="H38" s="33">
        <f t="shared" si="6"/>
        <v>3</v>
      </c>
      <c r="I38" s="32">
        <v>45563.0</v>
      </c>
      <c r="J38" s="32">
        <v>45566.0</v>
      </c>
      <c r="K38" s="33">
        <f t="shared" si="7"/>
        <v>3</v>
      </c>
      <c r="L38" s="34" t="b">
        <v>1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48"/>
      <c r="AN38" s="48"/>
      <c r="AO38" s="48"/>
      <c r="AP38" s="48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</row>
    <row r="39">
      <c r="A39" s="28" t="s">
        <v>146</v>
      </c>
      <c r="B39" s="53" t="s">
        <v>147</v>
      </c>
      <c r="C39" s="30" t="s">
        <v>85</v>
      </c>
      <c r="D39" s="30" t="s">
        <v>85</v>
      </c>
      <c r="E39" s="31"/>
      <c r="F39" s="32">
        <v>45563.0</v>
      </c>
      <c r="G39" s="32">
        <v>45566.0</v>
      </c>
      <c r="H39" s="33">
        <f t="shared" si="6"/>
        <v>3</v>
      </c>
      <c r="I39" s="32">
        <v>45563.0</v>
      </c>
      <c r="J39" s="32">
        <v>45566.0</v>
      </c>
      <c r="K39" s="33">
        <f t="shared" si="7"/>
        <v>3</v>
      </c>
      <c r="L39" s="34" t="b">
        <v>1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48"/>
      <c r="AN39" s="48"/>
      <c r="AO39" s="48"/>
      <c r="AP39" s="48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</row>
    <row r="40">
      <c r="A40" s="28" t="s">
        <v>148</v>
      </c>
      <c r="B40" s="53" t="s">
        <v>149</v>
      </c>
      <c r="C40" s="30" t="s">
        <v>107</v>
      </c>
      <c r="D40" s="30" t="s">
        <v>88</v>
      </c>
      <c r="E40" s="31"/>
      <c r="F40" s="32">
        <v>45563.0</v>
      </c>
      <c r="G40" s="32">
        <v>45566.0</v>
      </c>
      <c r="H40" s="33">
        <f t="shared" si="6"/>
        <v>3</v>
      </c>
      <c r="I40" s="32">
        <v>45563.0</v>
      </c>
      <c r="J40" s="32">
        <v>45566.0</v>
      </c>
      <c r="K40" s="33">
        <f t="shared" si="7"/>
        <v>3</v>
      </c>
      <c r="L40" s="34" t="b">
        <v>1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48"/>
      <c r="AN40" s="48"/>
      <c r="AO40" s="48"/>
      <c r="AP40" s="48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5"/>
      <c r="JY40" s="35"/>
    </row>
    <row r="41">
      <c r="A41" s="28" t="s">
        <v>150</v>
      </c>
      <c r="B41" s="53" t="s">
        <v>151</v>
      </c>
      <c r="C41" s="30" t="s">
        <v>145</v>
      </c>
      <c r="D41" s="30" t="s">
        <v>145</v>
      </c>
      <c r="E41" s="31"/>
      <c r="F41" s="32">
        <v>45606.0</v>
      </c>
      <c r="G41" s="32">
        <v>45614.0</v>
      </c>
      <c r="H41" s="33">
        <f t="shared" si="6"/>
        <v>8</v>
      </c>
      <c r="I41" s="32">
        <v>45606.0</v>
      </c>
      <c r="J41" s="32">
        <v>45614.0</v>
      </c>
      <c r="K41" s="33">
        <f t="shared" si="7"/>
        <v>8</v>
      </c>
      <c r="L41" s="34" t="b">
        <v>1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48"/>
      <c r="CE41" s="48"/>
      <c r="CF41" s="48"/>
      <c r="CG41" s="48"/>
      <c r="CH41" s="48"/>
      <c r="CI41" s="48"/>
      <c r="CJ41" s="48"/>
      <c r="CK41" s="48"/>
      <c r="CL41" s="48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</row>
    <row r="42">
      <c r="A42" s="28" t="s">
        <v>152</v>
      </c>
      <c r="B42" s="53" t="s">
        <v>153</v>
      </c>
      <c r="C42" s="30" t="s">
        <v>107</v>
      </c>
      <c r="D42" s="30" t="s">
        <v>88</v>
      </c>
      <c r="E42" s="31"/>
      <c r="F42" s="32">
        <v>45606.0</v>
      </c>
      <c r="G42" s="32">
        <v>45614.0</v>
      </c>
      <c r="H42" s="33">
        <f t="shared" si="6"/>
        <v>8</v>
      </c>
      <c r="I42" s="32">
        <v>45606.0</v>
      </c>
      <c r="J42" s="32">
        <v>45614.0</v>
      </c>
      <c r="K42" s="33">
        <f t="shared" si="7"/>
        <v>8</v>
      </c>
      <c r="L42" s="34" t="b">
        <v>1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48"/>
      <c r="CE42" s="48"/>
      <c r="CF42" s="48"/>
      <c r="CG42" s="48"/>
      <c r="CH42" s="48"/>
      <c r="CI42" s="48"/>
      <c r="CJ42" s="48"/>
      <c r="CK42" s="48"/>
      <c r="CL42" s="48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</row>
    <row r="43">
      <c r="A43" s="28" t="s">
        <v>154</v>
      </c>
      <c r="B43" s="53" t="s">
        <v>155</v>
      </c>
      <c r="C43" s="30" t="s">
        <v>107</v>
      </c>
      <c r="D43" s="30" t="s">
        <v>107</v>
      </c>
      <c r="E43" s="31"/>
      <c r="F43" s="32">
        <v>45605.0</v>
      </c>
      <c r="G43" s="32">
        <v>45614.0</v>
      </c>
      <c r="H43" s="33">
        <f t="shared" si="6"/>
        <v>9</v>
      </c>
      <c r="I43" s="32">
        <v>45605.0</v>
      </c>
      <c r="J43" s="32">
        <v>45614.0</v>
      </c>
      <c r="K43" s="33">
        <f t="shared" si="7"/>
        <v>9</v>
      </c>
      <c r="L43" s="34" t="b">
        <v>1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48"/>
      <c r="CF43" s="48"/>
      <c r="CG43" s="48"/>
      <c r="CH43" s="48"/>
      <c r="CI43" s="48"/>
      <c r="CJ43" s="48"/>
      <c r="CK43" s="48"/>
      <c r="CL43" s="48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</row>
    <row r="44">
      <c r="A44" s="28" t="s">
        <v>156</v>
      </c>
      <c r="B44" s="53" t="s">
        <v>157</v>
      </c>
      <c r="C44" s="30" t="s">
        <v>145</v>
      </c>
      <c r="D44" s="30" t="s">
        <v>145</v>
      </c>
      <c r="E44" s="31"/>
      <c r="F44" s="32">
        <v>45614.0</v>
      </c>
      <c r="G44" s="32">
        <v>45621.0</v>
      </c>
      <c r="H44" s="33">
        <f t="shared" si="6"/>
        <v>7</v>
      </c>
      <c r="I44" s="32">
        <v>45614.0</v>
      </c>
      <c r="J44" s="32">
        <v>45621.0</v>
      </c>
      <c r="K44" s="33">
        <f t="shared" si="7"/>
        <v>7</v>
      </c>
      <c r="L44" s="34" t="b">
        <v>1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48"/>
      <c r="CM44" s="48"/>
      <c r="CN44" s="48"/>
      <c r="CO44" s="48"/>
      <c r="CP44" s="48"/>
      <c r="CQ44" s="48"/>
      <c r="CR44" s="48"/>
      <c r="CS44" s="48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</row>
    <row r="45">
      <c r="A45" s="28" t="s">
        <v>158</v>
      </c>
      <c r="B45" s="53" t="s">
        <v>159</v>
      </c>
      <c r="C45" s="30" t="s">
        <v>88</v>
      </c>
      <c r="D45" s="30" t="s">
        <v>88</v>
      </c>
      <c r="E45" s="31"/>
      <c r="F45" s="32">
        <v>45573.0</v>
      </c>
      <c r="G45" s="32">
        <v>45579.0</v>
      </c>
      <c r="H45" s="33">
        <f t="shared" si="6"/>
        <v>6</v>
      </c>
      <c r="I45" s="32">
        <v>45573.0</v>
      </c>
      <c r="J45" s="32">
        <v>45580.0</v>
      </c>
      <c r="K45" s="33">
        <f t="shared" si="7"/>
        <v>7</v>
      </c>
      <c r="L45" s="34" t="b">
        <v>1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48"/>
      <c r="AX45" s="48"/>
      <c r="AY45" s="48"/>
      <c r="AZ45" s="48"/>
      <c r="BA45" s="48"/>
      <c r="BB45" s="48"/>
      <c r="BC45" s="48"/>
      <c r="BD45" s="48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</row>
    <row r="46">
      <c r="A46" s="28" t="s">
        <v>160</v>
      </c>
      <c r="B46" s="53" t="s">
        <v>161</v>
      </c>
      <c r="C46" s="30" t="s">
        <v>162</v>
      </c>
      <c r="D46" s="30" t="s">
        <v>162</v>
      </c>
      <c r="E46" s="31"/>
      <c r="F46" s="32">
        <v>45601.0</v>
      </c>
      <c r="G46" s="32">
        <v>45607.0</v>
      </c>
      <c r="H46" s="33">
        <f t="shared" si="6"/>
        <v>6</v>
      </c>
      <c r="I46" s="32">
        <v>45601.0</v>
      </c>
      <c r="J46" s="32">
        <v>45614.0</v>
      </c>
      <c r="K46" s="33">
        <f t="shared" si="7"/>
        <v>13</v>
      </c>
      <c r="L46" s="34" t="b">
        <v>1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</row>
    <row r="47">
      <c r="A47" s="28" t="s">
        <v>163</v>
      </c>
      <c r="B47" s="53" t="s">
        <v>164</v>
      </c>
      <c r="C47" s="30" t="s">
        <v>162</v>
      </c>
      <c r="D47" s="30" t="s">
        <v>162</v>
      </c>
      <c r="E47" s="31">
        <v>2.0</v>
      </c>
      <c r="F47" s="54">
        <v>45579.0</v>
      </c>
      <c r="G47" s="32">
        <v>45583.0</v>
      </c>
      <c r="H47" s="33">
        <f t="shared" si="6"/>
        <v>4</v>
      </c>
      <c r="I47" s="54">
        <v>45579.0</v>
      </c>
      <c r="J47" s="32">
        <v>45583.0</v>
      </c>
      <c r="K47" s="33">
        <f t="shared" si="7"/>
        <v>4</v>
      </c>
      <c r="L47" s="34" t="b">
        <v>1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48"/>
      <c r="BD47" s="48"/>
      <c r="BE47" s="48"/>
      <c r="BF47" s="48"/>
      <c r="BG47" s="48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</row>
    <row r="48">
      <c r="A48" s="28" t="s">
        <v>165</v>
      </c>
      <c r="B48" s="53" t="s">
        <v>166</v>
      </c>
      <c r="C48" s="30" t="s">
        <v>162</v>
      </c>
      <c r="D48" s="30" t="s">
        <v>162</v>
      </c>
      <c r="E48" s="31">
        <v>2.0</v>
      </c>
      <c r="F48" s="32">
        <v>45628.0</v>
      </c>
      <c r="G48" s="32">
        <v>45635.0</v>
      </c>
      <c r="H48" s="33">
        <f t="shared" si="6"/>
        <v>7</v>
      </c>
      <c r="I48" s="32">
        <v>45628.0</v>
      </c>
      <c r="J48" s="32">
        <v>45635.0</v>
      </c>
      <c r="K48" s="33">
        <f t="shared" si="7"/>
        <v>7</v>
      </c>
      <c r="L48" s="34" t="b">
        <v>1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48"/>
      <c r="DA48" s="48"/>
      <c r="DB48" s="48"/>
      <c r="DC48" s="48"/>
      <c r="DD48" s="48"/>
      <c r="DE48" s="48"/>
      <c r="DF48" s="48"/>
      <c r="DG48" s="48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  <c r="HM48" s="35"/>
      <c r="HN48" s="35"/>
      <c r="HO48" s="35"/>
      <c r="HP48" s="35"/>
      <c r="HQ48" s="35"/>
      <c r="HR48" s="35"/>
      <c r="HS48" s="35"/>
      <c r="HT48" s="35"/>
      <c r="HU48" s="35"/>
      <c r="HV48" s="35"/>
      <c r="HW48" s="35"/>
      <c r="HX48" s="35"/>
      <c r="HY48" s="35"/>
      <c r="HZ48" s="35"/>
      <c r="IA48" s="35"/>
      <c r="IB48" s="35"/>
      <c r="IC48" s="35"/>
      <c r="ID48" s="35"/>
      <c r="IE48" s="35"/>
      <c r="IF48" s="35"/>
      <c r="IG48" s="35"/>
      <c r="IH48" s="35"/>
      <c r="II48" s="35"/>
      <c r="IJ48" s="35"/>
      <c r="IK48" s="35"/>
      <c r="IL48" s="35"/>
      <c r="IM48" s="35"/>
      <c r="IN48" s="35"/>
      <c r="IO48" s="35"/>
      <c r="IP48" s="35"/>
      <c r="IQ48" s="35"/>
      <c r="IR48" s="35"/>
      <c r="IS48" s="35"/>
      <c r="IT48" s="35"/>
      <c r="IU48" s="35"/>
      <c r="IV48" s="35"/>
      <c r="IW48" s="35"/>
      <c r="IX48" s="35"/>
      <c r="IY48" s="35"/>
      <c r="IZ48" s="35"/>
      <c r="JA48" s="35"/>
      <c r="JB48" s="35"/>
      <c r="JC48" s="35"/>
      <c r="JD48" s="35"/>
      <c r="JE48" s="35"/>
      <c r="JF48" s="35"/>
      <c r="JG48" s="35"/>
      <c r="JH48" s="35"/>
      <c r="JI48" s="35"/>
      <c r="JJ48" s="35"/>
      <c r="JK48" s="35"/>
      <c r="JL48" s="35"/>
      <c r="JM48" s="35"/>
      <c r="JN48" s="35"/>
      <c r="JO48" s="35"/>
      <c r="JP48" s="35"/>
      <c r="JQ48" s="35"/>
      <c r="JR48" s="35"/>
      <c r="JS48" s="35"/>
      <c r="JT48" s="35"/>
      <c r="JU48" s="35"/>
      <c r="JV48" s="35"/>
      <c r="JW48" s="35"/>
      <c r="JX48" s="35"/>
      <c r="JY48" s="35"/>
    </row>
    <row r="49">
      <c r="A49" s="28" t="s">
        <v>167</v>
      </c>
      <c r="B49" s="53" t="s">
        <v>168</v>
      </c>
      <c r="C49" s="30" t="s">
        <v>162</v>
      </c>
      <c r="D49" s="30" t="s">
        <v>162</v>
      </c>
      <c r="E49" s="31">
        <v>2.0</v>
      </c>
      <c r="F49" s="32">
        <v>45544.0</v>
      </c>
      <c r="G49" s="32">
        <v>45551.0</v>
      </c>
      <c r="H49" s="33">
        <f t="shared" si="6"/>
        <v>7</v>
      </c>
      <c r="I49" s="32">
        <v>45544.0</v>
      </c>
      <c r="J49" s="32">
        <v>45551.0</v>
      </c>
      <c r="K49" s="33">
        <f t="shared" si="7"/>
        <v>7</v>
      </c>
      <c r="L49" s="34" t="b">
        <v>1</v>
      </c>
      <c r="M49" s="35"/>
      <c r="N49" s="35"/>
      <c r="O49" s="35"/>
      <c r="P49" s="35"/>
      <c r="Q49" s="35"/>
      <c r="R49" s="35"/>
      <c r="S49" s="35"/>
      <c r="T49" s="48"/>
      <c r="U49" s="48"/>
      <c r="V49" s="48"/>
      <c r="W49" s="48"/>
      <c r="X49" s="48"/>
      <c r="Y49" s="48"/>
      <c r="Z49" s="48"/>
      <c r="AA49" s="48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  <c r="IW49" s="35"/>
      <c r="IX49" s="35"/>
      <c r="IY49" s="35"/>
      <c r="IZ49" s="35"/>
      <c r="JA49" s="35"/>
      <c r="JB49" s="35"/>
      <c r="JC49" s="35"/>
      <c r="JD49" s="35"/>
      <c r="JE49" s="35"/>
      <c r="JF49" s="35"/>
      <c r="JG49" s="35"/>
      <c r="JH49" s="35"/>
      <c r="JI49" s="35"/>
      <c r="JJ49" s="35"/>
      <c r="JK49" s="35"/>
      <c r="JL49" s="35"/>
      <c r="JM49" s="35"/>
      <c r="JN49" s="35"/>
      <c r="JO49" s="35"/>
      <c r="JP49" s="35"/>
      <c r="JQ49" s="35"/>
      <c r="JR49" s="35"/>
      <c r="JS49" s="35"/>
      <c r="JT49" s="35"/>
      <c r="JU49" s="35"/>
      <c r="JV49" s="35"/>
      <c r="JW49" s="35"/>
      <c r="JX49" s="35"/>
      <c r="JY49" s="35"/>
    </row>
    <row r="50">
      <c r="A50" s="28" t="s">
        <v>169</v>
      </c>
      <c r="B50" s="55" t="s">
        <v>170</v>
      </c>
      <c r="C50" s="30" t="s">
        <v>162</v>
      </c>
      <c r="D50" s="30" t="s">
        <v>162</v>
      </c>
      <c r="E50" s="31">
        <v>2.0</v>
      </c>
      <c r="F50" s="32">
        <v>45628.0</v>
      </c>
      <c r="G50" s="32">
        <v>45635.0</v>
      </c>
      <c r="H50" s="33">
        <f t="shared" si="6"/>
        <v>7</v>
      </c>
      <c r="I50" s="32">
        <v>45628.0</v>
      </c>
      <c r="J50" s="32">
        <v>45635.0</v>
      </c>
      <c r="K50" s="33">
        <f t="shared" si="7"/>
        <v>7</v>
      </c>
      <c r="L50" s="34" t="b">
        <v>1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48"/>
      <c r="DA50" s="48"/>
      <c r="DB50" s="48"/>
      <c r="DC50" s="48"/>
      <c r="DD50" s="48"/>
      <c r="DE50" s="48"/>
      <c r="DF50" s="48"/>
      <c r="DG50" s="48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</row>
    <row r="51">
      <c r="A51" s="28" t="s">
        <v>171</v>
      </c>
      <c r="B51" s="55" t="s">
        <v>172</v>
      </c>
      <c r="C51" s="30" t="s">
        <v>162</v>
      </c>
      <c r="D51" s="30" t="s">
        <v>162</v>
      </c>
      <c r="E51" s="31">
        <v>2.0</v>
      </c>
      <c r="F51" s="32">
        <v>45628.0</v>
      </c>
      <c r="G51" s="32">
        <v>45635.0</v>
      </c>
      <c r="H51" s="33">
        <f t="shared" si="6"/>
        <v>7</v>
      </c>
      <c r="I51" s="32">
        <v>45628.0</v>
      </c>
      <c r="J51" s="32">
        <v>45635.0</v>
      </c>
      <c r="K51" s="33">
        <f t="shared" si="7"/>
        <v>7</v>
      </c>
      <c r="L51" s="34" t="b">
        <v>1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48"/>
      <c r="DA51" s="48"/>
      <c r="DB51" s="48"/>
      <c r="DC51" s="48"/>
      <c r="DD51" s="48"/>
      <c r="DE51" s="48"/>
      <c r="DF51" s="48"/>
      <c r="DG51" s="48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</row>
    <row r="52">
      <c r="A52" s="28" t="s">
        <v>173</v>
      </c>
      <c r="B52" s="53" t="s">
        <v>174</v>
      </c>
      <c r="C52" s="30" t="s">
        <v>162</v>
      </c>
      <c r="D52" s="30" t="s">
        <v>162</v>
      </c>
      <c r="E52" s="31">
        <v>6.0</v>
      </c>
      <c r="F52" s="32">
        <v>45635.0</v>
      </c>
      <c r="G52" s="32">
        <v>45642.0</v>
      </c>
      <c r="H52" s="33">
        <f t="shared" si="6"/>
        <v>7</v>
      </c>
      <c r="I52" s="32">
        <v>45635.0</v>
      </c>
      <c r="J52" s="32">
        <v>45642.0</v>
      </c>
      <c r="K52" s="33">
        <f t="shared" si="7"/>
        <v>7</v>
      </c>
      <c r="L52" s="34" t="b">
        <v>1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48"/>
      <c r="DH52" s="48"/>
      <c r="DI52" s="48"/>
      <c r="DJ52" s="48"/>
      <c r="DK52" s="48"/>
      <c r="DL52" s="48"/>
      <c r="DM52" s="48"/>
      <c r="DN52" s="48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</row>
    <row r="53">
      <c r="A53" s="28" t="s">
        <v>175</v>
      </c>
      <c r="B53" s="56" t="s">
        <v>176</v>
      </c>
      <c r="C53" s="57"/>
      <c r="D53" s="57"/>
      <c r="E53" s="57"/>
      <c r="F53" s="58"/>
      <c r="G53" s="58"/>
      <c r="H53" s="59" t="str">
        <f t="shared" ref="H53:H65" si="8">IF(OR(F53="",G53=""),"",IF(G53-F53=0,"",G53-F53))</f>
        <v/>
      </c>
      <c r="I53" s="58"/>
      <c r="J53" s="58"/>
      <c r="K53" s="59" t="str">
        <f t="shared" ref="K53:K83" si="9">IF(OR(I53="",J53=""),"",IF(J53-I53=0,"",J53-I53))</f>
        <v/>
      </c>
      <c r="L53" s="43" t="b">
        <v>0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</row>
    <row r="54">
      <c r="A54" s="28" t="s">
        <v>177</v>
      </c>
      <c r="B54" s="51" t="s">
        <v>178</v>
      </c>
      <c r="C54" s="57" t="s">
        <v>100</v>
      </c>
      <c r="D54" s="57" t="s">
        <v>127</v>
      </c>
      <c r="E54" s="60">
        <v>3.0</v>
      </c>
      <c r="F54" s="61">
        <v>45691.0</v>
      </c>
      <c r="G54" s="61">
        <v>45698.0</v>
      </c>
      <c r="H54" s="62">
        <f t="shared" si="8"/>
        <v>7</v>
      </c>
      <c r="I54" s="61">
        <v>45691.0</v>
      </c>
      <c r="J54" s="61">
        <v>45698.0</v>
      </c>
      <c r="K54" s="62">
        <f t="shared" si="9"/>
        <v>7</v>
      </c>
      <c r="L54" s="43" t="b">
        <v>1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</row>
    <row r="55">
      <c r="A55" s="28" t="s">
        <v>179</v>
      </c>
      <c r="B55" s="63" t="s">
        <v>180</v>
      </c>
      <c r="C55" s="57" t="s">
        <v>181</v>
      </c>
      <c r="D55" s="57" t="s">
        <v>100</v>
      </c>
      <c r="E55" s="60">
        <v>3.0</v>
      </c>
      <c r="F55" s="61">
        <v>45712.0</v>
      </c>
      <c r="G55" s="61">
        <v>45719.0</v>
      </c>
      <c r="H55" s="62">
        <f t="shared" si="8"/>
        <v>7</v>
      </c>
      <c r="I55" s="61">
        <v>45712.0</v>
      </c>
      <c r="J55" s="61">
        <v>45719.0</v>
      </c>
      <c r="K55" s="62">
        <f t="shared" si="9"/>
        <v>7</v>
      </c>
      <c r="L55" s="43" t="b">
        <v>1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</row>
    <row r="56">
      <c r="A56" s="28" t="s">
        <v>182</v>
      </c>
      <c r="B56" s="51" t="s">
        <v>183</v>
      </c>
      <c r="C56" s="57"/>
      <c r="D56" s="57" t="s">
        <v>184</v>
      </c>
      <c r="E56" s="60">
        <v>1.0</v>
      </c>
      <c r="F56" s="61">
        <v>45726.0</v>
      </c>
      <c r="G56" s="61">
        <v>45733.0</v>
      </c>
      <c r="H56" s="62">
        <f t="shared" si="8"/>
        <v>7</v>
      </c>
      <c r="I56" s="61">
        <v>45726.0</v>
      </c>
      <c r="J56" s="61">
        <v>45733.0</v>
      </c>
      <c r="K56" s="62">
        <f t="shared" si="9"/>
        <v>7</v>
      </c>
      <c r="L56" s="43" t="b">
        <v>1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</row>
    <row r="57">
      <c r="A57" s="28" t="s">
        <v>185</v>
      </c>
      <c r="B57" s="51" t="s">
        <v>186</v>
      </c>
      <c r="C57" s="57"/>
      <c r="D57" s="57"/>
      <c r="E57" s="57"/>
      <c r="F57" s="64"/>
      <c r="G57" s="65"/>
      <c r="H57" s="59" t="str">
        <f t="shared" si="8"/>
        <v/>
      </c>
      <c r="I57" s="65"/>
      <c r="J57" s="65"/>
      <c r="K57" s="59" t="str">
        <f t="shared" si="9"/>
        <v/>
      </c>
      <c r="L57" s="43" t="b">
        <v>0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</row>
    <row r="58">
      <c r="A58" s="28" t="s">
        <v>187</v>
      </c>
      <c r="B58" s="51" t="s">
        <v>188</v>
      </c>
      <c r="C58" s="57" t="s">
        <v>88</v>
      </c>
      <c r="D58" s="57" t="s">
        <v>85</v>
      </c>
      <c r="E58" s="60">
        <v>8.0</v>
      </c>
      <c r="F58" s="61">
        <v>45691.0</v>
      </c>
      <c r="G58" s="61">
        <v>45698.0</v>
      </c>
      <c r="H58" s="62">
        <f t="shared" si="8"/>
        <v>7</v>
      </c>
      <c r="I58" s="61">
        <v>45698.0</v>
      </c>
      <c r="J58" s="61">
        <v>45719.0</v>
      </c>
      <c r="K58" s="62">
        <f t="shared" si="9"/>
        <v>21</v>
      </c>
      <c r="L58" s="43" t="b">
        <v>1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</row>
    <row r="59">
      <c r="A59" s="28" t="s">
        <v>189</v>
      </c>
      <c r="B59" s="51" t="s">
        <v>190</v>
      </c>
      <c r="C59" s="57" t="s">
        <v>100</v>
      </c>
      <c r="D59" s="57" t="s">
        <v>127</v>
      </c>
      <c r="E59" s="60">
        <v>3.0</v>
      </c>
      <c r="F59" s="61">
        <v>45691.0</v>
      </c>
      <c r="G59" s="61">
        <v>45698.0</v>
      </c>
      <c r="H59" s="62">
        <f t="shared" si="8"/>
        <v>7</v>
      </c>
      <c r="I59" s="61">
        <v>45691.0</v>
      </c>
      <c r="J59" s="61">
        <v>45698.0</v>
      </c>
      <c r="K59" s="62">
        <f t="shared" si="9"/>
        <v>7</v>
      </c>
      <c r="L59" s="43" t="b">
        <v>1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</row>
    <row r="60">
      <c r="A60" s="28" t="s">
        <v>191</v>
      </c>
      <c r="B60" s="51" t="s">
        <v>192</v>
      </c>
      <c r="C60" s="57"/>
      <c r="D60" s="57"/>
      <c r="E60" s="57"/>
      <c r="F60" s="65"/>
      <c r="G60" s="65"/>
      <c r="H60" s="59" t="str">
        <f t="shared" si="8"/>
        <v/>
      </c>
      <c r="I60" s="65"/>
      <c r="J60" s="65"/>
      <c r="K60" s="59" t="str">
        <f t="shared" si="9"/>
        <v/>
      </c>
      <c r="L60" s="43" t="b">
        <v>0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</row>
    <row r="61">
      <c r="A61" s="28" t="s">
        <v>193</v>
      </c>
      <c r="B61" s="51" t="s">
        <v>194</v>
      </c>
      <c r="C61" s="57"/>
      <c r="D61" s="57" t="s">
        <v>184</v>
      </c>
      <c r="E61" s="60">
        <v>3.0</v>
      </c>
      <c r="F61" s="61">
        <v>45726.0</v>
      </c>
      <c r="G61" s="61">
        <v>45733.0</v>
      </c>
      <c r="H61" s="62">
        <f t="shared" si="8"/>
        <v>7</v>
      </c>
      <c r="I61" s="61">
        <v>45726.0</v>
      </c>
      <c r="J61" s="61">
        <v>45733.0</v>
      </c>
      <c r="K61" s="62">
        <f t="shared" si="9"/>
        <v>7</v>
      </c>
      <c r="L61" s="43" t="b">
        <v>1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</row>
    <row r="62">
      <c r="A62" s="28" t="s">
        <v>195</v>
      </c>
      <c r="B62" s="51" t="s">
        <v>196</v>
      </c>
      <c r="C62" s="57"/>
      <c r="D62" s="57" t="s">
        <v>184</v>
      </c>
      <c r="E62" s="60">
        <v>4.0</v>
      </c>
      <c r="F62" s="61">
        <v>45712.0</v>
      </c>
      <c r="G62" s="61">
        <v>45726.0</v>
      </c>
      <c r="H62" s="62">
        <f t="shared" si="8"/>
        <v>14</v>
      </c>
      <c r="I62" s="65"/>
      <c r="J62" s="65"/>
      <c r="K62" s="59" t="str">
        <f t="shared" si="9"/>
        <v/>
      </c>
      <c r="L62" s="43" t="b">
        <v>0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</row>
    <row r="63">
      <c r="A63" s="28" t="s">
        <v>197</v>
      </c>
      <c r="B63" s="51" t="s">
        <v>198</v>
      </c>
      <c r="C63" s="57" t="s">
        <v>100</v>
      </c>
      <c r="D63" s="57" t="s">
        <v>88</v>
      </c>
      <c r="E63" s="60">
        <v>2.0</v>
      </c>
      <c r="F63" s="61">
        <v>45691.0</v>
      </c>
      <c r="G63" s="66">
        <v>45698.0</v>
      </c>
      <c r="H63" s="62">
        <f t="shared" si="8"/>
        <v>7</v>
      </c>
      <c r="I63" s="65"/>
      <c r="J63" s="65"/>
      <c r="K63" s="59" t="str">
        <f t="shared" si="9"/>
        <v/>
      </c>
      <c r="L63" s="43" t="b">
        <v>1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</row>
    <row r="64">
      <c r="A64" s="28" t="s">
        <v>199</v>
      </c>
      <c r="B64" s="51" t="s">
        <v>200</v>
      </c>
      <c r="C64" s="57" t="s">
        <v>100</v>
      </c>
      <c r="D64" s="57" t="s">
        <v>127</v>
      </c>
      <c r="E64" s="60">
        <v>1.0</v>
      </c>
      <c r="F64" s="61">
        <v>45691.0</v>
      </c>
      <c r="G64" s="61">
        <v>45698.0</v>
      </c>
      <c r="H64" s="62">
        <f t="shared" si="8"/>
        <v>7</v>
      </c>
      <c r="I64" s="61">
        <v>45691.0</v>
      </c>
      <c r="J64" s="61">
        <v>45698.0</v>
      </c>
      <c r="K64" s="62">
        <f t="shared" si="9"/>
        <v>7</v>
      </c>
      <c r="L64" s="43" t="b">
        <v>1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  <c r="JF64" s="35"/>
      <c r="JG64" s="35"/>
      <c r="JH64" s="35"/>
      <c r="JI64" s="35"/>
      <c r="JJ64" s="35"/>
      <c r="JK64" s="35"/>
      <c r="JL64" s="35"/>
      <c r="JM64" s="35"/>
      <c r="JN64" s="35"/>
      <c r="JO64" s="35"/>
      <c r="JP64" s="35"/>
      <c r="JQ64" s="35"/>
      <c r="JR64" s="35"/>
      <c r="JS64" s="35"/>
      <c r="JT64" s="35"/>
      <c r="JU64" s="35"/>
      <c r="JV64" s="35"/>
      <c r="JW64" s="35"/>
      <c r="JX64" s="35"/>
      <c r="JY64" s="35"/>
    </row>
    <row r="65">
      <c r="A65" s="28" t="s">
        <v>201</v>
      </c>
      <c r="B65" s="51" t="s">
        <v>202</v>
      </c>
      <c r="C65" s="57"/>
      <c r="D65" s="57"/>
      <c r="E65" s="57"/>
      <c r="F65" s="65"/>
      <c r="G65" s="65"/>
      <c r="H65" s="59" t="str">
        <f t="shared" si="8"/>
        <v/>
      </c>
      <c r="I65" s="65"/>
      <c r="J65" s="65"/>
      <c r="K65" s="59" t="str">
        <f t="shared" si="9"/>
        <v/>
      </c>
      <c r="L65" s="43" t="b">
        <v>0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</row>
    <row r="66">
      <c r="A66" s="28" t="s">
        <v>203</v>
      </c>
      <c r="B66" s="51" t="s">
        <v>204</v>
      </c>
      <c r="C66" s="57" t="s">
        <v>100</v>
      </c>
      <c r="D66" s="57" t="s">
        <v>127</v>
      </c>
      <c r="E66" s="60">
        <v>1.0</v>
      </c>
      <c r="F66" s="61">
        <v>45698.0</v>
      </c>
      <c r="G66" s="61">
        <v>45698.0</v>
      </c>
      <c r="H66" s="62">
        <v>1.0</v>
      </c>
      <c r="I66" s="61">
        <v>45698.0</v>
      </c>
      <c r="J66" s="61">
        <v>45698.0</v>
      </c>
      <c r="K66" s="59" t="str">
        <f t="shared" si="9"/>
        <v/>
      </c>
      <c r="L66" s="43" t="b">
        <v>1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  <c r="JF66" s="35"/>
      <c r="JG66" s="35"/>
      <c r="JH66" s="35"/>
      <c r="JI66" s="35"/>
      <c r="JJ66" s="35"/>
      <c r="JK66" s="35"/>
      <c r="JL66" s="35"/>
      <c r="JM66" s="35"/>
      <c r="JN66" s="35"/>
      <c r="JO66" s="35"/>
      <c r="JP66" s="35"/>
      <c r="JQ66" s="35"/>
      <c r="JR66" s="35"/>
      <c r="JS66" s="35"/>
      <c r="JT66" s="35"/>
      <c r="JU66" s="35"/>
      <c r="JV66" s="35"/>
      <c r="JW66" s="35"/>
      <c r="JX66" s="35"/>
      <c r="JY66" s="35"/>
    </row>
    <row r="67">
      <c r="A67" s="28" t="s">
        <v>205</v>
      </c>
      <c r="B67" s="51" t="s">
        <v>206</v>
      </c>
      <c r="C67" s="57" t="s">
        <v>181</v>
      </c>
      <c r="D67" s="57" t="s">
        <v>162</v>
      </c>
      <c r="E67" s="57"/>
      <c r="F67" s="61">
        <v>45698.0</v>
      </c>
      <c r="G67" s="65"/>
      <c r="H67" s="59" t="str">
        <f t="shared" ref="H67:H83" si="10">IF(OR(F67="",G67=""),"",IF(G67-F67=0,"",G67-F67))</f>
        <v/>
      </c>
      <c r="I67" s="65"/>
      <c r="J67" s="65"/>
      <c r="K67" s="59" t="str">
        <f t="shared" si="9"/>
        <v/>
      </c>
      <c r="L67" s="43" t="b">
        <v>0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</row>
    <row r="68">
      <c r="A68" s="28" t="s">
        <v>207</v>
      </c>
      <c r="B68" s="51" t="s">
        <v>208</v>
      </c>
      <c r="C68" s="57" t="s">
        <v>181</v>
      </c>
      <c r="D68" s="57" t="s">
        <v>184</v>
      </c>
      <c r="E68" s="60">
        <v>3.0</v>
      </c>
      <c r="F68" s="61">
        <v>45705.0</v>
      </c>
      <c r="G68" s="61">
        <v>45726.0</v>
      </c>
      <c r="H68" s="62">
        <f t="shared" si="10"/>
        <v>21</v>
      </c>
      <c r="I68" s="61">
        <v>45705.0</v>
      </c>
      <c r="J68" s="61">
        <v>45726.0</v>
      </c>
      <c r="K68" s="62">
        <f t="shared" si="9"/>
        <v>21</v>
      </c>
      <c r="L68" s="43" t="b">
        <v>1</v>
      </c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  <c r="JF68" s="35"/>
      <c r="JG68" s="35"/>
      <c r="JH68" s="35"/>
      <c r="JI68" s="35"/>
      <c r="JJ68" s="35"/>
      <c r="JK68" s="35"/>
      <c r="JL68" s="35"/>
      <c r="JM68" s="35"/>
      <c r="JN68" s="35"/>
      <c r="JO68" s="35"/>
      <c r="JP68" s="35"/>
      <c r="JQ68" s="35"/>
      <c r="JR68" s="35"/>
      <c r="JS68" s="35"/>
      <c r="JT68" s="35"/>
      <c r="JU68" s="35"/>
      <c r="JV68" s="35"/>
      <c r="JW68" s="35"/>
      <c r="JX68" s="35"/>
      <c r="JY68" s="35"/>
    </row>
    <row r="69">
      <c r="A69" s="28" t="s">
        <v>209</v>
      </c>
      <c r="B69" s="51" t="s">
        <v>210</v>
      </c>
      <c r="C69" s="57" t="s">
        <v>100</v>
      </c>
      <c r="D69" s="57" t="s">
        <v>88</v>
      </c>
      <c r="E69" s="60">
        <v>2.0</v>
      </c>
      <c r="F69" s="61">
        <v>45698.0</v>
      </c>
      <c r="G69" s="61">
        <v>45705.0</v>
      </c>
      <c r="H69" s="62">
        <f t="shared" si="10"/>
        <v>7</v>
      </c>
      <c r="I69" s="65"/>
      <c r="J69" s="65"/>
      <c r="K69" s="59" t="str">
        <f t="shared" si="9"/>
        <v/>
      </c>
      <c r="L69" s="43" t="b">
        <v>1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</row>
    <row r="70">
      <c r="A70" s="28" t="s">
        <v>211</v>
      </c>
      <c r="B70" s="67" t="s">
        <v>212</v>
      </c>
      <c r="C70" s="57" t="s">
        <v>100</v>
      </c>
      <c r="D70" s="57" t="s">
        <v>88</v>
      </c>
      <c r="E70" s="60">
        <v>5.0</v>
      </c>
      <c r="F70" s="61">
        <v>45705.0</v>
      </c>
      <c r="G70" s="61">
        <v>45719.0</v>
      </c>
      <c r="H70" s="62">
        <f t="shared" si="10"/>
        <v>14</v>
      </c>
      <c r="I70" s="65"/>
      <c r="J70" s="65"/>
      <c r="K70" s="59" t="str">
        <f t="shared" si="9"/>
        <v/>
      </c>
      <c r="L70" s="43" t="b">
        <v>0</v>
      </c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</row>
    <row r="71">
      <c r="A71" s="28" t="s">
        <v>213</v>
      </c>
      <c r="B71" s="51" t="s">
        <v>214</v>
      </c>
      <c r="C71" s="57" t="s">
        <v>100</v>
      </c>
      <c r="D71" s="57" t="s">
        <v>88</v>
      </c>
      <c r="E71" s="60">
        <v>4.0</v>
      </c>
      <c r="F71" s="61">
        <v>45719.0</v>
      </c>
      <c r="G71" s="61">
        <v>45726.0</v>
      </c>
      <c r="H71" s="62">
        <f t="shared" si="10"/>
        <v>7</v>
      </c>
      <c r="I71" s="65"/>
      <c r="J71" s="65"/>
      <c r="K71" s="59" t="str">
        <f t="shared" si="9"/>
        <v/>
      </c>
      <c r="L71" s="43" t="b">
        <v>1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</row>
    <row r="72">
      <c r="A72" s="28" t="s">
        <v>215</v>
      </c>
      <c r="B72" s="51" t="s">
        <v>216</v>
      </c>
      <c r="C72" s="57"/>
      <c r="D72" s="57" t="s">
        <v>127</v>
      </c>
      <c r="E72" s="60">
        <v>5.0</v>
      </c>
      <c r="F72" s="61">
        <v>45712.0</v>
      </c>
      <c r="G72" s="61">
        <v>45725.0</v>
      </c>
      <c r="H72" s="62">
        <f t="shared" si="10"/>
        <v>13</v>
      </c>
      <c r="I72" s="65"/>
      <c r="J72" s="65"/>
      <c r="K72" s="59" t="str">
        <f t="shared" si="9"/>
        <v/>
      </c>
      <c r="L72" s="43" t="b">
        <v>0</v>
      </c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</row>
    <row r="73">
      <c r="A73" s="28" t="s">
        <v>217</v>
      </c>
      <c r="B73" s="51" t="s">
        <v>218</v>
      </c>
      <c r="C73" s="57"/>
      <c r="D73" s="57" t="s">
        <v>127</v>
      </c>
      <c r="E73" s="60">
        <v>4.0</v>
      </c>
      <c r="F73" s="61">
        <v>45719.0</v>
      </c>
      <c r="G73" s="61">
        <v>45726.0</v>
      </c>
      <c r="H73" s="62">
        <f t="shared" si="10"/>
        <v>7</v>
      </c>
      <c r="I73" s="65"/>
      <c r="J73" s="65"/>
      <c r="K73" s="59" t="str">
        <f t="shared" si="9"/>
        <v/>
      </c>
      <c r="L73" s="43" t="b">
        <v>0</v>
      </c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</row>
    <row r="74">
      <c r="A74" s="28" t="s">
        <v>219</v>
      </c>
      <c r="B74" s="67" t="s">
        <v>220</v>
      </c>
      <c r="C74" s="57"/>
      <c r="D74" s="57" t="s">
        <v>88</v>
      </c>
      <c r="E74" s="60">
        <v>2.0</v>
      </c>
      <c r="F74" s="61">
        <v>45726.0</v>
      </c>
      <c r="G74" s="64"/>
      <c r="H74" s="59" t="str">
        <f t="shared" si="10"/>
        <v/>
      </c>
      <c r="I74" s="65"/>
      <c r="J74" s="65"/>
      <c r="K74" s="59" t="str">
        <f t="shared" si="9"/>
        <v/>
      </c>
      <c r="L74" s="43" t="b">
        <v>0</v>
      </c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</row>
    <row r="75">
      <c r="A75" s="28" t="s">
        <v>221</v>
      </c>
      <c r="B75" s="52" t="s">
        <v>222</v>
      </c>
      <c r="C75" s="57"/>
      <c r="D75" s="57" t="s">
        <v>85</v>
      </c>
      <c r="E75" s="57"/>
      <c r="F75" s="61">
        <v>45712.0</v>
      </c>
      <c r="G75" s="61">
        <v>45726.0</v>
      </c>
      <c r="H75" s="62">
        <f t="shared" si="10"/>
        <v>14</v>
      </c>
      <c r="I75" s="61">
        <v>45712.0</v>
      </c>
      <c r="J75" s="61">
        <v>45726.0</v>
      </c>
      <c r="K75" s="62">
        <f t="shared" si="9"/>
        <v>14</v>
      </c>
      <c r="L75" s="43" t="b">
        <v>1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</row>
    <row r="76">
      <c r="A76" s="28" t="s">
        <v>223</v>
      </c>
      <c r="B76" s="68" t="s">
        <v>224</v>
      </c>
      <c r="C76" s="57" t="s">
        <v>181</v>
      </c>
      <c r="D76" s="57" t="s">
        <v>140</v>
      </c>
      <c r="E76" s="57"/>
      <c r="F76" s="61">
        <v>45712.0</v>
      </c>
      <c r="G76" s="61">
        <v>45726.0</v>
      </c>
      <c r="H76" s="62">
        <f t="shared" si="10"/>
        <v>14</v>
      </c>
      <c r="I76" s="61">
        <v>45712.0</v>
      </c>
      <c r="J76" s="61">
        <v>45726.0</v>
      </c>
      <c r="K76" s="62">
        <f t="shared" si="9"/>
        <v>14</v>
      </c>
      <c r="L76" s="43" t="b">
        <v>1</v>
      </c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</row>
    <row r="77">
      <c r="A77" s="28" t="s">
        <v>225</v>
      </c>
      <c r="B77" s="51" t="s">
        <v>226</v>
      </c>
      <c r="C77" s="57" t="s">
        <v>88</v>
      </c>
      <c r="D77" s="57" t="s">
        <v>184</v>
      </c>
      <c r="E77" s="60">
        <v>4.0</v>
      </c>
      <c r="F77" s="61">
        <v>45726.0</v>
      </c>
      <c r="G77" s="61">
        <v>45733.0</v>
      </c>
      <c r="H77" s="62">
        <f t="shared" si="10"/>
        <v>7</v>
      </c>
      <c r="I77" s="61">
        <v>45726.0</v>
      </c>
      <c r="J77" s="61">
        <v>45733.0</v>
      </c>
      <c r="K77" s="62">
        <f t="shared" si="9"/>
        <v>7</v>
      </c>
      <c r="L77" s="43" t="b">
        <v>1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</row>
    <row r="78">
      <c r="A78" s="28" t="s">
        <v>227</v>
      </c>
      <c r="B78" s="51" t="s">
        <v>228</v>
      </c>
      <c r="C78" s="57"/>
      <c r="D78" s="57" t="s">
        <v>88</v>
      </c>
      <c r="E78" s="69">
        <v>2.0</v>
      </c>
      <c r="F78" s="61">
        <v>45726.0</v>
      </c>
      <c r="G78" s="65"/>
      <c r="H78" s="59" t="str">
        <f t="shared" si="10"/>
        <v/>
      </c>
      <c r="I78" s="65"/>
      <c r="J78" s="65"/>
      <c r="K78" s="59" t="str">
        <f t="shared" si="9"/>
        <v/>
      </c>
      <c r="L78" s="43" t="b">
        <v>0</v>
      </c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</row>
    <row r="79">
      <c r="A79" s="28" t="s">
        <v>229</v>
      </c>
      <c r="B79" s="51" t="s">
        <v>230</v>
      </c>
      <c r="C79" s="57" t="s">
        <v>181</v>
      </c>
      <c r="D79" s="57" t="s">
        <v>140</v>
      </c>
      <c r="E79" s="57"/>
      <c r="F79" s="61">
        <v>45732.0</v>
      </c>
      <c r="G79" s="65"/>
      <c r="H79" s="59" t="str">
        <f t="shared" si="10"/>
        <v/>
      </c>
      <c r="I79" s="65"/>
      <c r="J79" s="65"/>
      <c r="K79" s="59" t="str">
        <f t="shared" si="9"/>
        <v/>
      </c>
      <c r="L79" s="43" t="b">
        <v>0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</row>
    <row r="80">
      <c r="A80" s="28" t="s">
        <v>231</v>
      </c>
      <c r="B80" s="51" t="s">
        <v>232</v>
      </c>
      <c r="C80" s="57"/>
      <c r="D80" s="57" t="s">
        <v>85</v>
      </c>
      <c r="E80" s="57"/>
      <c r="F80" s="61">
        <v>45729.0</v>
      </c>
      <c r="G80" s="61">
        <v>45733.0</v>
      </c>
      <c r="H80" s="62">
        <f t="shared" si="10"/>
        <v>4</v>
      </c>
      <c r="I80" s="65"/>
      <c r="J80" s="65"/>
      <c r="K80" s="59" t="str">
        <f t="shared" si="9"/>
        <v/>
      </c>
      <c r="L80" s="43" t="b">
        <v>0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</row>
    <row r="81">
      <c r="A81" s="28" t="s">
        <v>233</v>
      </c>
      <c r="B81" s="51" t="s">
        <v>234</v>
      </c>
      <c r="C81" s="57" t="s">
        <v>181</v>
      </c>
      <c r="D81" s="57" t="s">
        <v>140</v>
      </c>
      <c r="E81" s="57"/>
      <c r="F81" s="61">
        <v>45726.0</v>
      </c>
      <c r="G81" s="61">
        <v>45730.0</v>
      </c>
      <c r="H81" s="62">
        <f t="shared" si="10"/>
        <v>4</v>
      </c>
      <c r="I81" s="65"/>
      <c r="J81" s="65"/>
      <c r="K81" s="59" t="str">
        <f t="shared" si="9"/>
        <v/>
      </c>
      <c r="L81" s="43" t="b">
        <v>1</v>
      </c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</row>
    <row r="82">
      <c r="A82" s="28" t="s">
        <v>235</v>
      </c>
      <c r="B82" s="51" t="s">
        <v>236</v>
      </c>
      <c r="C82" s="57" t="s">
        <v>181</v>
      </c>
      <c r="D82" s="57" t="s">
        <v>100</v>
      </c>
      <c r="E82" s="60">
        <v>5.0</v>
      </c>
      <c r="F82" s="61">
        <v>45719.0</v>
      </c>
      <c r="G82" s="61">
        <v>45733.0</v>
      </c>
      <c r="H82" s="62">
        <f t="shared" si="10"/>
        <v>14</v>
      </c>
      <c r="I82" s="61">
        <v>45719.0</v>
      </c>
      <c r="J82" s="61">
        <v>45733.0</v>
      </c>
      <c r="K82" s="62">
        <f t="shared" si="9"/>
        <v>14</v>
      </c>
      <c r="L82" s="43" t="b">
        <v>1</v>
      </c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</row>
    <row r="83">
      <c r="A83" s="28" t="s">
        <v>237</v>
      </c>
      <c r="B83" s="51" t="s">
        <v>238</v>
      </c>
      <c r="C83" s="57" t="s">
        <v>181</v>
      </c>
      <c r="D83" s="57" t="s">
        <v>100</v>
      </c>
      <c r="E83" s="60">
        <v>3.0</v>
      </c>
      <c r="F83" s="61">
        <v>45726.0</v>
      </c>
      <c r="G83" s="61">
        <v>45733.0</v>
      </c>
      <c r="H83" s="62">
        <f t="shared" si="10"/>
        <v>7</v>
      </c>
      <c r="I83" s="61">
        <v>45726.0</v>
      </c>
      <c r="J83" s="61">
        <v>45733.0</v>
      </c>
      <c r="K83" s="62">
        <f t="shared" si="9"/>
        <v>7</v>
      </c>
      <c r="L83" s="43" t="b">
        <v>1</v>
      </c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</row>
    <row r="84">
      <c r="A84" s="28" t="s">
        <v>239</v>
      </c>
      <c r="B84" s="40" t="s">
        <v>240</v>
      </c>
      <c r="C84" s="40"/>
      <c r="D84" s="40" t="s">
        <v>184</v>
      </c>
      <c r="E84" s="70">
        <v>3.0</v>
      </c>
      <c r="F84" s="71">
        <v>45754.0</v>
      </c>
      <c r="G84" s="71">
        <v>45754.0</v>
      </c>
      <c r="H84" s="33" t="str">
        <f t="shared" ref="H84:H108" si="11">if(OR(F84="",G84=""),"",if(G84-F84=0,"",G84-F84))</f>
        <v/>
      </c>
      <c r="I84" s="32"/>
      <c r="J84" s="32"/>
      <c r="K84" s="33" t="str">
        <f t="shared" ref="K84:K108" si="12">if(OR(I84="",J84=""),"",if(J84-I84=0,"",J84-I84))</f>
        <v/>
      </c>
      <c r="L84" s="36" t="b">
        <v>0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</row>
    <row r="85">
      <c r="A85" s="28" t="s">
        <v>241</v>
      </c>
      <c r="C85" s="40" t="s">
        <v>88</v>
      </c>
      <c r="D85" s="40" t="s">
        <v>127</v>
      </c>
      <c r="E85" s="70">
        <v>3.0</v>
      </c>
      <c r="F85" s="71">
        <v>45754.0</v>
      </c>
      <c r="G85" s="71">
        <v>45754.0</v>
      </c>
      <c r="H85" s="33" t="str">
        <f t="shared" si="11"/>
        <v/>
      </c>
      <c r="I85" s="72"/>
      <c r="J85" s="32"/>
      <c r="K85" s="33" t="str">
        <f t="shared" si="12"/>
        <v/>
      </c>
      <c r="L85" s="36" t="b">
        <v>0</v>
      </c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</row>
    <row r="86">
      <c r="A86" s="28" t="s">
        <v>242</v>
      </c>
      <c r="B86" s="40" t="s">
        <v>243</v>
      </c>
      <c r="C86" s="40" t="s">
        <v>88</v>
      </c>
      <c r="D86" s="40" t="s">
        <v>100</v>
      </c>
      <c r="E86" s="70">
        <v>1.0</v>
      </c>
      <c r="F86" s="71">
        <v>45754.0</v>
      </c>
      <c r="G86" s="71">
        <v>45761.0</v>
      </c>
      <c r="H86" s="33">
        <f t="shared" si="11"/>
        <v>7</v>
      </c>
      <c r="I86" s="72"/>
      <c r="J86" s="32"/>
      <c r="K86" s="33" t="str">
        <f t="shared" si="12"/>
        <v/>
      </c>
      <c r="L86" s="36" t="b">
        <v>0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</row>
    <row r="87">
      <c r="A87" s="28" t="s">
        <v>244</v>
      </c>
      <c r="B87" s="40" t="s">
        <v>245</v>
      </c>
      <c r="C87" s="40"/>
      <c r="D87" s="40" t="s">
        <v>88</v>
      </c>
      <c r="E87" s="70">
        <v>1.0</v>
      </c>
      <c r="F87" s="71">
        <v>45754.0</v>
      </c>
      <c r="G87" s="71">
        <v>45761.0</v>
      </c>
      <c r="H87" s="33">
        <f t="shared" si="11"/>
        <v>7</v>
      </c>
      <c r="I87" s="72"/>
      <c r="J87" s="32"/>
      <c r="K87" s="33" t="str">
        <f t="shared" si="12"/>
        <v/>
      </c>
      <c r="L87" s="36" t="b">
        <v>0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</row>
    <row r="88">
      <c r="A88" s="28" t="s">
        <v>246</v>
      </c>
      <c r="B88" s="40" t="s">
        <v>247</v>
      </c>
      <c r="C88" s="40" t="s">
        <v>88</v>
      </c>
      <c r="D88" s="40" t="s">
        <v>127</v>
      </c>
      <c r="E88" s="70">
        <v>2.0</v>
      </c>
      <c r="F88" s="71">
        <v>45761.0</v>
      </c>
      <c r="G88" s="71">
        <v>45762.0</v>
      </c>
      <c r="H88" s="33">
        <f t="shared" si="11"/>
        <v>1</v>
      </c>
      <c r="I88" s="72"/>
      <c r="J88" s="32"/>
      <c r="K88" s="33" t="str">
        <f t="shared" si="12"/>
        <v/>
      </c>
      <c r="L88" s="36" t="b">
        <v>0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</row>
    <row r="89">
      <c r="A89" s="28" t="s">
        <v>248</v>
      </c>
      <c r="B89" s="40" t="s">
        <v>249</v>
      </c>
      <c r="C89" s="40" t="s">
        <v>88</v>
      </c>
      <c r="D89" s="40" t="s">
        <v>127</v>
      </c>
      <c r="E89" s="70">
        <v>5.0</v>
      </c>
      <c r="F89" s="71">
        <v>45761.0</v>
      </c>
      <c r="G89" s="71">
        <v>45766.0</v>
      </c>
      <c r="H89" s="33">
        <f t="shared" si="11"/>
        <v>5</v>
      </c>
      <c r="I89" s="72"/>
      <c r="J89" s="32"/>
      <c r="K89" s="33" t="str">
        <f t="shared" si="12"/>
        <v/>
      </c>
      <c r="L89" s="36" t="b">
        <v>0</v>
      </c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</row>
    <row r="90">
      <c r="A90" s="28" t="s">
        <v>250</v>
      </c>
      <c r="B90" s="40" t="s">
        <v>251</v>
      </c>
      <c r="C90" s="40" t="s">
        <v>88</v>
      </c>
      <c r="D90" s="40" t="s">
        <v>184</v>
      </c>
      <c r="E90" s="70">
        <v>5.0</v>
      </c>
      <c r="F90" s="71">
        <v>45761.0</v>
      </c>
      <c r="G90" s="71">
        <v>45768.0</v>
      </c>
      <c r="H90" s="33">
        <f t="shared" si="11"/>
        <v>7</v>
      </c>
      <c r="I90" s="72"/>
      <c r="J90" s="32"/>
      <c r="K90" s="33" t="str">
        <f t="shared" si="12"/>
        <v/>
      </c>
      <c r="L90" s="36" t="b">
        <v>0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</row>
    <row r="91">
      <c r="A91" s="28" t="s">
        <v>252</v>
      </c>
      <c r="B91" s="40" t="s">
        <v>253</v>
      </c>
      <c r="C91" s="40" t="s">
        <v>88</v>
      </c>
      <c r="D91" s="40" t="s">
        <v>184</v>
      </c>
      <c r="E91" s="70">
        <v>3.0</v>
      </c>
      <c r="F91" s="71">
        <v>45761.0</v>
      </c>
      <c r="G91" s="71">
        <v>45768.0</v>
      </c>
      <c r="H91" s="33">
        <f t="shared" si="11"/>
        <v>7</v>
      </c>
      <c r="I91" s="72"/>
      <c r="J91" s="32"/>
      <c r="K91" s="33" t="str">
        <f t="shared" si="12"/>
        <v/>
      </c>
      <c r="L91" s="36" t="b">
        <v>0</v>
      </c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</row>
    <row r="92">
      <c r="A92" s="28" t="s">
        <v>254</v>
      </c>
      <c r="B92" s="40" t="s">
        <v>255</v>
      </c>
      <c r="C92" s="40"/>
      <c r="D92" s="40" t="s">
        <v>88</v>
      </c>
      <c r="E92" s="70">
        <v>3.0</v>
      </c>
      <c r="F92" s="71">
        <v>45761.0</v>
      </c>
      <c r="G92" s="71">
        <v>45768.0</v>
      </c>
      <c r="H92" s="33">
        <f t="shared" si="11"/>
        <v>7</v>
      </c>
      <c r="I92" s="72"/>
      <c r="J92" s="32"/>
      <c r="K92" s="33" t="str">
        <f t="shared" si="12"/>
        <v/>
      </c>
      <c r="L92" s="36" t="b">
        <v>0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</row>
    <row r="93">
      <c r="A93" s="28" t="s">
        <v>256</v>
      </c>
      <c r="B93" s="40" t="s">
        <v>257</v>
      </c>
      <c r="C93" s="40" t="s">
        <v>88</v>
      </c>
      <c r="D93" s="40" t="s">
        <v>184</v>
      </c>
      <c r="E93" s="70">
        <v>2.0</v>
      </c>
      <c r="F93" s="71">
        <v>45761.0</v>
      </c>
      <c r="G93" s="71">
        <v>45768.0</v>
      </c>
      <c r="H93" s="33">
        <f t="shared" si="11"/>
        <v>7</v>
      </c>
      <c r="I93" s="72"/>
      <c r="J93" s="32"/>
      <c r="K93" s="33" t="str">
        <f t="shared" si="12"/>
        <v/>
      </c>
      <c r="L93" s="36" t="b">
        <v>0</v>
      </c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</row>
    <row r="94">
      <c r="A94" s="28" t="s">
        <v>258</v>
      </c>
      <c r="B94" s="40" t="s">
        <v>259</v>
      </c>
      <c r="C94" s="40" t="s">
        <v>88</v>
      </c>
      <c r="D94" s="40" t="s">
        <v>184</v>
      </c>
      <c r="E94" s="70">
        <v>3.0</v>
      </c>
      <c r="F94" s="71">
        <v>45767.0</v>
      </c>
      <c r="G94" s="71">
        <v>45774.0</v>
      </c>
      <c r="H94" s="33">
        <f t="shared" si="11"/>
        <v>7</v>
      </c>
      <c r="I94" s="72"/>
      <c r="J94" s="32"/>
      <c r="K94" s="33" t="str">
        <f t="shared" si="12"/>
        <v/>
      </c>
      <c r="L94" s="36" t="b">
        <v>0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</row>
    <row r="95">
      <c r="A95" s="28" t="s">
        <v>260</v>
      </c>
      <c r="D95" s="40" t="s">
        <v>127</v>
      </c>
      <c r="E95" s="70">
        <v>3.0</v>
      </c>
      <c r="H95" s="33" t="str">
        <f t="shared" si="11"/>
        <v/>
      </c>
      <c r="I95" s="72"/>
      <c r="J95" s="32"/>
      <c r="K95" s="33" t="str">
        <f t="shared" si="12"/>
        <v/>
      </c>
      <c r="L95" s="36" t="b">
        <v>0</v>
      </c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</row>
    <row r="96">
      <c r="A96" s="28" t="s">
        <v>261</v>
      </c>
      <c r="B96" s="40" t="s">
        <v>262</v>
      </c>
      <c r="C96" s="40" t="s">
        <v>88</v>
      </c>
      <c r="D96" s="40" t="s">
        <v>184</v>
      </c>
      <c r="E96" s="70">
        <v>3.0</v>
      </c>
      <c r="F96" s="71">
        <v>45767.0</v>
      </c>
      <c r="G96" s="71">
        <v>45774.0</v>
      </c>
      <c r="H96" s="33">
        <f t="shared" si="11"/>
        <v>7</v>
      </c>
      <c r="I96" s="72"/>
      <c r="J96" s="32"/>
      <c r="K96" s="33" t="str">
        <f t="shared" si="12"/>
        <v/>
      </c>
      <c r="L96" s="36" t="b">
        <v>0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</row>
    <row r="97">
      <c r="A97" s="28" t="s">
        <v>263</v>
      </c>
      <c r="B97" s="40" t="s">
        <v>264</v>
      </c>
      <c r="C97" s="40" t="s">
        <v>88</v>
      </c>
      <c r="D97" s="40" t="s">
        <v>184</v>
      </c>
      <c r="E97" s="70">
        <v>2.0</v>
      </c>
      <c r="F97" s="71">
        <v>45775.0</v>
      </c>
      <c r="G97" s="73"/>
      <c r="H97" s="33" t="str">
        <f t="shared" si="11"/>
        <v/>
      </c>
      <c r="I97" s="72"/>
      <c r="J97" s="32"/>
      <c r="K97" s="33" t="str">
        <f t="shared" si="12"/>
        <v/>
      </c>
      <c r="L97" s="36" t="b">
        <v>0</v>
      </c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</row>
    <row r="98">
      <c r="A98" s="28" t="s">
        <v>265</v>
      </c>
      <c r="B98" s="40" t="s">
        <v>266</v>
      </c>
      <c r="C98" s="40" t="s">
        <v>88</v>
      </c>
      <c r="D98" s="40" t="s">
        <v>184</v>
      </c>
      <c r="E98" s="40"/>
      <c r="F98" s="71">
        <v>45775.0</v>
      </c>
      <c r="G98" s="73"/>
      <c r="H98" s="33" t="str">
        <f t="shared" si="11"/>
        <v/>
      </c>
      <c r="I98" s="72"/>
      <c r="J98" s="32"/>
      <c r="K98" s="33" t="str">
        <f t="shared" si="12"/>
        <v/>
      </c>
      <c r="L98" s="36" t="b">
        <v>0</v>
      </c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</row>
    <row r="99">
      <c r="A99" s="28" t="s">
        <v>267</v>
      </c>
      <c r="B99" s="40" t="s">
        <v>268</v>
      </c>
      <c r="C99" s="40"/>
      <c r="D99" s="40" t="s">
        <v>88</v>
      </c>
      <c r="E99" s="40"/>
      <c r="F99" s="71">
        <v>45775.0</v>
      </c>
      <c r="G99" s="73"/>
      <c r="H99" s="33" t="str">
        <f t="shared" si="11"/>
        <v/>
      </c>
      <c r="I99" s="72"/>
      <c r="J99" s="32"/>
      <c r="K99" s="33" t="str">
        <f t="shared" si="12"/>
        <v/>
      </c>
      <c r="L99" s="36" t="b">
        <v>0</v>
      </c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</row>
    <row r="100">
      <c r="A100" s="28" t="s">
        <v>269</v>
      </c>
      <c r="B100" s="40" t="s">
        <v>270</v>
      </c>
      <c r="C100" s="40" t="s">
        <v>88</v>
      </c>
      <c r="D100" s="40" t="s">
        <v>127</v>
      </c>
      <c r="E100" s="70">
        <v>2.0</v>
      </c>
      <c r="F100" s="71">
        <v>45775.0</v>
      </c>
      <c r="G100" s="71">
        <v>45776.0</v>
      </c>
      <c r="H100" s="33">
        <f t="shared" si="11"/>
        <v>1</v>
      </c>
      <c r="I100" s="72"/>
      <c r="J100" s="32"/>
      <c r="K100" s="33" t="str">
        <f t="shared" si="12"/>
        <v/>
      </c>
      <c r="L100" s="36" t="b">
        <v>0</v>
      </c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</row>
    <row r="101">
      <c r="A101" s="28" t="s">
        <v>271</v>
      </c>
      <c r="B101" s="40" t="s">
        <v>272</v>
      </c>
      <c r="C101" s="40"/>
      <c r="D101" s="40" t="s">
        <v>88</v>
      </c>
      <c r="E101" s="40"/>
      <c r="F101" s="71">
        <v>45775.0</v>
      </c>
      <c r="G101" s="73"/>
      <c r="H101" s="33" t="str">
        <f t="shared" si="11"/>
        <v/>
      </c>
      <c r="I101" s="72"/>
      <c r="J101" s="32"/>
      <c r="K101" s="33" t="str">
        <f t="shared" si="12"/>
        <v/>
      </c>
      <c r="L101" s="36" t="b">
        <v>0</v>
      </c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</row>
    <row r="102">
      <c r="A102" s="28" t="s">
        <v>273</v>
      </c>
      <c r="B102" s="40" t="s">
        <v>274</v>
      </c>
      <c r="C102" s="40"/>
      <c r="D102" s="40" t="s">
        <v>110</v>
      </c>
      <c r="E102" s="40"/>
      <c r="F102" s="71">
        <v>45775.0</v>
      </c>
      <c r="G102" s="73"/>
      <c r="H102" s="33" t="str">
        <f t="shared" si="11"/>
        <v/>
      </c>
      <c r="I102" s="72"/>
      <c r="J102" s="32"/>
      <c r="K102" s="33" t="str">
        <f t="shared" si="12"/>
        <v/>
      </c>
      <c r="L102" s="36" t="b">
        <v>0</v>
      </c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</row>
    <row r="103">
      <c r="A103" s="28" t="s">
        <v>275</v>
      </c>
      <c r="B103" s="40" t="s">
        <v>276</v>
      </c>
      <c r="C103" s="40" t="s">
        <v>88</v>
      </c>
      <c r="D103" s="40" t="s">
        <v>127</v>
      </c>
      <c r="E103" s="70">
        <v>4.0</v>
      </c>
      <c r="F103" s="71">
        <v>45775.0</v>
      </c>
      <c r="G103" s="74">
        <v>45785.0</v>
      </c>
      <c r="H103" s="33">
        <f t="shared" si="11"/>
        <v>10</v>
      </c>
      <c r="I103" s="72"/>
      <c r="J103" s="32"/>
      <c r="K103" s="33" t="str">
        <f t="shared" si="12"/>
        <v/>
      </c>
      <c r="L103" s="36" t="b">
        <v>0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</row>
    <row r="104">
      <c r="A104" s="28" t="s">
        <v>277</v>
      </c>
      <c r="B104" s="40" t="s">
        <v>278</v>
      </c>
      <c r="C104" s="40" t="s">
        <v>88</v>
      </c>
      <c r="D104" s="40" t="s">
        <v>184</v>
      </c>
      <c r="E104" s="40"/>
      <c r="F104" s="71">
        <v>45775.0</v>
      </c>
      <c r="G104" s="73"/>
      <c r="H104" s="33" t="str">
        <f t="shared" si="11"/>
        <v/>
      </c>
      <c r="I104" s="72"/>
      <c r="J104" s="32"/>
      <c r="K104" s="33" t="str">
        <f t="shared" si="12"/>
        <v/>
      </c>
      <c r="L104" s="36" t="b">
        <v>0</v>
      </c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</row>
    <row r="105">
      <c r="A105" s="28" t="s">
        <v>279</v>
      </c>
      <c r="B105" s="40" t="s">
        <v>280</v>
      </c>
      <c r="C105" s="40"/>
      <c r="D105" s="40" t="s">
        <v>88</v>
      </c>
      <c r="E105" s="40"/>
      <c r="F105" s="71">
        <v>45775.0</v>
      </c>
      <c r="G105" s="73"/>
      <c r="H105" s="33" t="str">
        <f t="shared" si="11"/>
        <v/>
      </c>
      <c r="I105" s="72"/>
      <c r="J105" s="32"/>
      <c r="K105" s="33" t="str">
        <f t="shared" si="12"/>
        <v/>
      </c>
      <c r="L105" s="36" t="b">
        <v>0</v>
      </c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</row>
    <row r="106">
      <c r="A106" s="28" t="s">
        <v>281</v>
      </c>
      <c r="B106" s="40" t="s">
        <v>282</v>
      </c>
      <c r="C106" s="40"/>
      <c r="D106" s="40" t="s">
        <v>88</v>
      </c>
      <c r="E106" s="70">
        <v>4.0</v>
      </c>
      <c r="F106" s="71">
        <v>45782.0</v>
      </c>
      <c r="G106" s="71">
        <v>45783.0</v>
      </c>
      <c r="H106" s="33">
        <f t="shared" si="11"/>
        <v>1</v>
      </c>
      <c r="I106" s="72"/>
      <c r="J106" s="32"/>
      <c r="K106" s="33" t="str">
        <f t="shared" si="12"/>
        <v/>
      </c>
      <c r="L106" s="36" t="b">
        <v>0</v>
      </c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</row>
    <row r="107">
      <c r="A107" s="28" t="s">
        <v>283</v>
      </c>
      <c r="B107" s="40" t="s">
        <v>284</v>
      </c>
      <c r="C107" s="40"/>
      <c r="D107" s="40" t="s">
        <v>88</v>
      </c>
      <c r="E107" s="70">
        <v>4.0</v>
      </c>
      <c r="F107" s="71">
        <v>45782.0</v>
      </c>
      <c r="G107" s="71">
        <v>45784.0</v>
      </c>
      <c r="H107" s="33">
        <f t="shared" si="11"/>
        <v>2</v>
      </c>
      <c r="I107" s="72"/>
      <c r="J107" s="32"/>
      <c r="K107" s="33" t="str">
        <f t="shared" si="12"/>
        <v/>
      </c>
      <c r="L107" s="36" t="b">
        <v>0</v>
      </c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</row>
    <row r="108">
      <c r="A108" s="28" t="s">
        <v>285</v>
      </c>
      <c r="B108" s="40" t="s">
        <v>286</v>
      </c>
      <c r="C108" s="40"/>
      <c r="D108" s="40" t="s">
        <v>88</v>
      </c>
      <c r="E108" s="70">
        <v>4.0</v>
      </c>
      <c r="F108" s="71">
        <v>45782.0</v>
      </c>
      <c r="G108" s="71">
        <v>45787.0</v>
      </c>
      <c r="H108" s="33">
        <f t="shared" si="11"/>
        <v>5</v>
      </c>
      <c r="I108" s="72"/>
      <c r="J108" s="32"/>
      <c r="K108" s="33" t="str">
        <f t="shared" si="12"/>
        <v/>
      </c>
      <c r="L108" s="36" t="b">
        <v>0</v>
      </c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</row>
    <row r="109">
      <c r="A109" s="28" t="s">
        <v>287</v>
      </c>
      <c r="B109" s="40" t="s">
        <v>288</v>
      </c>
      <c r="C109" s="40"/>
      <c r="D109" s="40" t="s">
        <v>88</v>
      </c>
      <c r="E109" s="70">
        <v>4.0</v>
      </c>
      <c r="F109" s="71">
        <v>45782.0</v>
      </c>
      <c r="G109" s="71">
        <v>45787.0</v>
      </c>
      <c r="H109" s="33"/>
      <c r="I109" s="72"/>
      <c r="J109" s="32"/>
      <c r="K109" s="33"/>
      <c r="L109" s="36" t="b">
        <v>0</v>
      </c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</row>
    <row r="110">
      <c r="A110" s="28" t="s">
        <v>289</v>
      </c>
      <c r="B110" s="40" t="s">
        <v>290</v>
      </c>
      <c r="C110" s="40"/>
      <c r="D110" s="40" t="s">
        <v>88</v>
      </c>
      <c r="E110" s="70">
        <v>6.0</v>
      </c>
      <c r="F110" s="71">
        <v>45782.0</v>
      </c>
      <c r="G110" s="71">
        <v>45787.0</v>
      </c>
      <c r="H110" s="33"/>
      <c r="I110" s="72"/>
      <c r="J110" s="32"/>
      <c r="K110" s="33"/>
      <c r="L110" s="36" t="b">
        <v>0</v>
      </c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</row>
    <row r="111">
      <c r="A111" s="28" t="s">
        <v>291</v>
      </c>
      <c r="B111" s="40" t="s">
        <v>292</v>
      </c>
      <c r="C111" s="40"/>
      <c r="D111" s="40" t="s">
        <v>88</v>
      </c>
      <c r="E111" s="70">
        <v>6.0</v>
      </c>
      <c r="F111" s="71">
        <v>45782.0</v>
      </c>
      <c r="G111" s="71">
        <v>45787.0</v>
      </c>
      <c r="H111" s="33"/>
      <c r="I111" s="72"/>
      <c r="J111" s="32"/>
      <c r="K111" s="33"/>
      <c r="L111" s="36" t="b">
        <v>0</v>
      </c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</row>
    <row r="112">
      <c r="A112" s="28" t="s">
        <v>293</v>
      </c>
      <c r="B112" s="40" t="s">
        <v>294</v>
      </c>
      <c r="C112" s="40"/>
      <c r="D112" s="40" t="s">
        <v>88</v>
      </c>
      <c r="E112" s="70">
        <v>6.0</v>
      </c>
      <c r="F112" s="71">
        <v>45782.0</v>
      </c>
      <c r="G112" s="71">
        <v>45787.0</v>
      </c>
      <c r="H112" s="33"/>
      <c r="I112" s="72"/>
      <c r="J112" s="32"/>
      <c r="K112" s="33"/>
      <c r="L112" s="36" t="b">
        <v>0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</row>
    <row r="113">
      <c r="A113" s="28" t="s">
        <v>295</v>
      </c>
      <c r="B113" s="40" t="s">
        <v>296</v>
      </c>
      <c r="C113" s="40"/>
      <c r="D113" s="40" t="s">
        <v>88</v>
      </c>
      <c r="E113" s="70">
        <v>6.0</v>
      </c>
      <c r="F113" s="71">
        <v>45782.0</v>
      </c>
      <c r="G113" s="71">
        <v>45787.0</v>
      </c>
      <c r="H113" s="33"/>
      <c r="I113" s="72"/>
      <c r="J113" s="32"/>
      <c r="K113" s="33"/>
      <c r="L113" s="36" t="b">
        <v>0</v>
      </c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</row>
    <row r="114">
      <c r="A114" s="28" t="s">
        <v>297</v>
      </c>
      <c r="B114" s="40" t="s">
        <v>298</v>
      </c>
      <c r="C114" s="40"/>
      <c r="D114" s="40" t="s">
        <v>88</v>
      </c>
      <c r="E114" s="70">
        <v>6.0</v>
      </c>
      <c r="F114" s="71">
        <v>45782.0</v>
      </c>
      <c r="G114" s="71">
        <v>45787.0</v>
      </c>
      <c r="H114" s="33"/>
      <c r="I114" s="72"/>
      <c r="J114" s="32"/>
      <c r="K114" s="33"/>
      <c r="L114" s="36" t="b">
        <v>0</v>
      </c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</row>
    <row r="115">
      <c r="A115" s="28" t="s">
        <v>299</v>
      </c>
      <c r="B115" s="40" t="s">
        <v>300</v>
      </c>
      <c r="C115" s="40" t="s">
        <v>162</v>
      </c>
      <c r="D115" s="40" t="s">
        <v>162</v>
      </c>
      <c r="E115" s="40"/>
      <c r="F115" s="74">
        <v>45691.0</v>
      </c>
      <c r="G115" s="74">
        <v>45712.0</v>
      </c>
      <c r="H115" s="33"/>
      <c r="I115" s="72"/>
      <c r="J115" s="32"/>
      <c r="K115" s="33"/>
      <c r="L115" s="36" t="b">
        <v>0</v>
      </c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</row>
    <row r="116">
      <c r="A116" s="28" t="s">
        <v>301</v>
      </c>
      <c r="B116" s="40" t="s">
        <v>302</v>
      </c>
      <c r="C116" s="40" t="s">
        <v>162</v>
      </c>
      <c r="D116" s="40" t="s">
        <v>162</v>
      </c>
      <c r="E116" s="40"/>
      <c r="F116" s="74">
        <v>45719.0</v>
      </c>
      <c r="G116" s="74">
        <v>45740.0</v>
      </c>
      <c r="H116" s="33"/>
      <c r="I116" s="72"/>
      <c r="J116" s="32"/>
      <c r="K116" s="33"/>
      <c r="L116" s="36" t="b">
        <v>0</v>
      </c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</row>
    <row r="117">
      <c r="A117" s="28" t="s">
        <v>303</v>
      </c>
      <c r="B117" s="40" t="s">
        <v>304</v>
      </c>
      <c r="C117" s="40" t="s">
        <v>162</v>
      </c>
      <c r="D117" s="40" t="s">
        <v>162</v>
      </c>
      <c r="E117" s="40"/>
      <c r="F117" s="74">
        <v>45754.0</v>
      </c>
      <c r="G117" s="74">
        <v>45775.0</v>
      </c>
      <c r="H117" s="33"/>
      <c r="I117" s="72"/>
      <c r="J117" s="32"/>
      <c r="K117" s="33"/>
      <c r="L117" s="36" t="b">
        <v>0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</row>
    <row r="118">
      <c r="A118" s="28" t="s">
        <v>305</v>
      </c>
      <c r="B118" s="40" t="s">
        <v>306</v>
      </c>
      <c r="C118" s="40" t="s">
        <v>162</v>
      </c>
      <c r="D118" s="40" t="s">
        <v>162</v>
      </c>
      <c r="E118" s="70">
        <v>1.0</v>
      </c>
      <c r="F118" s="74">
        <v>45782.0</v>
      </c>
      <c r="G118" s="74">
        <v>45789.0</v>
      </c>
      <c r="H118" s="33"/>
      <c r="I118" s="72"/>
      <c r="J118" s="32"/>
      <c r="K118" s="33"/>
      <c r="L118" s="36" t="b">
        <v>0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</row>
    <row r="119">
      <c r="A119" s="28" t="s">
        <v>307</v>
      </c>
      <c r="B119" s="40" t="s">
        <v>308</v>
      </c>
      <c r="C119" s="40" t="s">
        <v>162</v>
      </c>
      <c r="D119" s="40" t="s">
        <v>162</v>
      </c>
      <c r="E119" s="40"/>
      <c r="F119" s="74">
        <v>45782.0</v>
      </c>
      <c r="G119" s="74">
        <v>45789.0</v>
      </c>
      <c r="H119" s="33"/>
      <c r="I119" s="72"/>
      <c r="J119" s="32"/>
      <c r="K119" s="33"/>
      <c r="L119" s="36" t="b">
        <v>0</v>
      </c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</row>
    <row r="120">
      <c r="A120" s="28" t="s">
        <v>309</v>
      </c>
      <c r="B120" s="40" t="s">
        <v>310</v>
      </c>
      <c r="C120" s="40" t="s">
        <v>162</v>
      </c>
      <c r="D120" s="40" t="s">
        <v>162</v>
      </c>
      <c r="E120" s="40"/>
      <c r="F120" s="74">
        <v>45782.0</v>
      </c>
      <c r="G120" s="74">
        <v>45789.0</v>
      </c>
      <c r="H120" s="33"/>
      <c r="I120" s="72"/>
      <c r="J120" s="32"/>
      <c r="K120" s="33"/>
      <c r="L120" s="36" t="b">
        <v>0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</row>
    <row r="121">
      <c r="A121" s="28" t="s">
        <v>311</v>
      </c>
      <c r="B121" s="40" t="s">
        <v>312</v>
      </c>
      <c r="C121" s="40" t="s">
        <v>162</v>
      </c>
      <c r="D121" s="40" t="s">
        <v>162</v>
      </c>
      <c r="E121" s="40"/>
      <c r="F121" s="74">
        <v>45782.0</v>
      </c>
      <c r="G121" s="74">
        <v>45789.0</v>
      </c>
      <c r="H121" s="33"/>
      <c r="I121" s="72"/>
      <c r="J121" s="32"/>
      <c r="K121" s="33"/>
      <c r="L121" s="36" t="b">
        <v>0</v>
      </c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</row>
    <row r="122">
      <c r="A122" s="28" t="s">
        <v>313</v>
      </c>
      <c r="B122" s="40" t="s">
        <v>314</v>
      </c>
      <c r="C122" s="40" t="s">
        <v>162</v>
      </c>
      <c r="D122" s="40" t="s">
        <v>162</v>
      </c>
      <c r="E122" s="70">
        <v>1.0</v>
      </c>
      <c r="F122" s="74">
        <v>45782.0</v>
      </c>
      <c r="G122" s="74">
        <v>45789.0</v>
      </c>
      <c r="H122" s="33"/>
      <c r="I122" s="72"/>
      <c r="J122" s="32"/>
      <c r="K122" s="33"/>
      <c r="L122" s="36" t="b">
        <v>0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</row>
    <row r="123">
      <c r="A123" s="28" t="s">
        <v>315</v>
      </c>
      <c r="B123" s="40" t="s">
        <v>316</v>
      </c>
      <c r="C123" s="40" t="s">
        <v>162</v>
      </c>
      <c r="D123" s="40" t="s">
        <v>162</v>
      </c>
      <c r="E123" s="70">
        <v>2.0</v>
      </c>
      <c r="F123" s="74">
        <v>45782.0</v>
      </c>
      <c r="G123" s="74">
        <v>45789.0</v>
      </c>
      <c r="H123" s="33"/>
      <c r="I123" s="72"/>
      <c r="J123" s="32"/>
      <c r="K123" s="33"/>
      <c r="L123" s="36" t="b">
        <v>0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</row>
    <row r="124">
      <c r="A124" s="28" t="s">
        <v>317</v>
      </c>
      <c r="B124" s="40" t="s">
        <v>318</v>
      </c>
      <c r="C124" s="40" t="s">
        <v>184</v>
      </c>
      <c r="D124" s="40" t="s">
        <v>184</v>
      </c>
      <c r="E124" s="70">
        <v>1.0</v>
      </c>
      <c r="F124" s="74">
        <v>45782.0</v>
      </c>
      <c r="G124" s="74">
        <v>45789.0</v>
      </c>
      <c r="H124" s="75">
        <f t="shared" ref="H124:H125" si="13">IF(OR(F124="",G124=""),"",IF(G124-F124=0,"",G124-F124))</f>
        <v>7</v>
      </c>
      <c r="I124" s="74">
        <v>45782.0</v>
      </c>
      <c r="J124" s="74">
        <v>45789.0</v>
      </c>
      <c r="K124" s="75">
        <f t="shared" ref="K124:K125" si="14">IF(OR(I124="",J124=""),"",IF(J124-I124=0,"",J124-I124))</f>
        <v>7</v>
      </c>
      <c r="L124" s="36" t="b">
        <v>0</v>
      </c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</row>
    <row r="125">
      <c r="A125" s="28" t="s">
        <v>319</v>
      </c>
      <c r="B125" s="40" t="s">
        <v>320</v>
      </c>
      <c r="C125" s="40" t="s">
        <v>184</v>
      </c>
      <c r="D125" s="40" t="s">
        <v>184</v>
      </c>
      <c r="E125" s="70">
        <v>3.0</v>
      </c>
      <c r="F125" s="74">
        <v>45782.0</v>
      </c>
      <c r="G125" s="74">
        <v>45789.0</v>
      </c>
      <c r="H125" s="75">
        <f t="shared" si="13"/>
        <v>7</v>
      </c>
      <c r="I125" s="74">
        <v>45782.0</v>
      </c>
      <c r="J125" s="74">
        <v>45789.0</v>
      </c>
      <c r="K125" s="75">
        <f t="shared" si="14"/>
        <v>7</v>
      </c>
      <c r="L125" s="36" t="b">
        <v>0</v>
      </c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</row>
    <row r="126">
      <c r="A126" s="28" t="s">
        <v>321</v>
      </c>
      <c r="B126" s="40" t="s">
        <v>322</v>
      </c>
      <c r="C126" s="40" t="s">
        <v>184</v>
      </c>
      <c r="D126" s="40" t="s">
        <v>184</v>
      </c>
      <c r="E126" s="70">
        <v>1.0</v>
      </c>
      <c r="F126" s="74">
        <v>45782.0</v>
      </c>
      <c r="G126" s="74">
        <v>45789.0</v>
      </c>
      <c r="H126" s="75">
        <v>7.0</v>
      </c>
      <c r="I126" s="74">
        <v>45782.0</v>
      </c>
      <c r="J126" s="74">
        <v>45789.0</v>
      </c>
      <c r="K126" s="75">
        <v>7.0</v>
      </c>
      <c r="L126" s="36" t="b">
        <v>0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</row>
    <row r="127">
      <c r="A127" s="28" t="s">
        <v>323</v>
      </c>
      <c r="B127" s="40" t="s">
        <v>324</v>
      </c>
      <c r="C127" s="40" t="s">
        <v>184</v>
      </c>
      <c r="D127" s="40" t="s">
        <v>184</v>
      </c>
      <c r="E127" s="70">
        <v>1.0</v>
      </c>
      <c r="F127" s="74">
        <v>45782.0</v>
      </c>
      <c r="G127" s="74">
        <v>45789.0</v>
      </c>
      <c r="H127" s="75">
        <f t="shared" ref="H127:H138" si="15">IF(OR(F127="",G127=""),"",IF(G127-F127=0,"",G127-F127))</f>
        <v>7</v>
      </c>
      <c r="I127" s="74">
        <v>45782.0</v>
      </c>
      <c r="J127" s="74">
        <v>45789.0</v>
      </c>
      <c r="K127" s="75">
        <f t="shared" ref="K127:K138" si="16">IF(OR(I127="",J127=""),"",IF(J127-I127=0,"",J127-I127))</f>
        <v>7</v>
      </c>
      <c r="L127" s="36" t="b">
        <v>0</v>
      </c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</row>
    <row r="128">
      <c r="A128" s="28" t="s">
        <v>325</v>
      </c>
      <c r="B128" s="40" t="s">
        <v>326</v>
      </c>
      <c r="C128" s="40" t="s">
        <v>184</v>
      </c>
      <c r="D128" s="40" t="s">
        <v>184</v>
      </c>
      <c r="E128" s="70">
        <v>2.0</v>
      </c>
      <c r="F128" s="74">
        <v>45782.0</v>
      </c>
      <c r="G128" s="74">
        <v>45789.0</v>
      </c>
      <c r="H128" s="75">
        <f t="shared" si="15"/>
        <v>7</v>
      </c>
      <c r="I128" s="74">
        <v>45782.0</v>
      </c>
      <c r="J128" s="74">
        <v>45789.0</v>
      </c>
      <c r="K128" s="75">
        <f t="shared" si="16"/>
        <v>7</v>
      </c>
      <c r="L128" s="36" t="b">
        <v>0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</row>
    <row r="129">
      <c r="A129" s="28" t="s">
        <v>327</v>
      </c>
      <c r="B129" s="40" t="s">
        <v>328</v>
      </c>
      <c r="C129" s="40" t="s">
        <v>181</v>
      </c>
      <c r="D129" s="40" t="s">
        <v>140</v>
      </c>
      <c r="E129" s="70">
        <v>4.0</v>
      </c>
      <c r="F129" s="71">
        <v>45775.0</v>
      </c>
      <c r="G129" s="74">
        <v>45783.0</v>
      </c>
      <c r="H129" s="75">
        <f t="shared" si="15"/>
        <v>8</v>
      </c>
      <c r="I129" s="71">
        <v>45775.0</v>
      </c>
      <c r="J129" s="74">
        <v>45783.0</v>
      </c>
      <c r="K129" s="75">
        <f t="shared" si="16"/>
        <v>8</v>
      </c>
      <c r="L129" s="36" t="b">
        <v>0</v>
      </c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</row>
    <row r="130">
      <c r="A130" s="28" t="s">
        <v>329</v>
      </c>
      <c r="B130" s="40" t="s">
        <v>330</v>
      </c>
      <c r="C130" s="40" t="s">
        <v>181</v>
      </c>
      <c r="D130" s="40" t="s">
        <v>140</v>
      </c>
      <c r="E130" s="70">
        <v>3.0</v>
      </c>
      <c r="F130" s="74">
        <v>45785.0</v>
      </c>
      <c r="G130" s="73"/>
      <c r="H130" s="76" t="str">
        <f t="shared" si="15"/>
        <v/>
      </c>
      <c r="I130" s="73"/>
      <c r="J130" s="73"/>
      <c r="K130" s="76" t="str">
        <f t="shared" si="16"/>
        <v/>
      </c>
      <c r="L130" s="36" t="b">
        <v>0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</row>
    <row r="131">
      <c r="A131" s="28" t="s">
        <v>331</v>
      </c>
      <c r="B131" s="40" t="s">
        <v>332</v>
      </c>
      <c r="C131" s="40" t="s">
        <v>181</v>
      </c>
      <c r="D131" s="40" t="s">
        <v>140</v>
      </c>
      <c r="E131" s="70">
        <v>1.0</v>
      </c>
      <c r="F131" s="74">
        <v>45784.0</v>
      </c>
      <c r="G131" s="73"/>
      <c r="H131" s="76" t="str">
        <f t="shared" si="15"/>
        <v/>
      </c>
      <c r="I131" s="73"/>
      <c r="J131" s="73"/>
      <c r="K131" s="76" t="str">
        <f t="shared" si="16"/>
        <v/>
      </c>
      <c r="L131" s="36" t="b">
        <v>0</v>
      </c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</row>
    <row r="132">
      <c r="A132" s="28" t="s">
        <v>333</v>
      </c>
      <c r="B132" s="40" t="s">
        <v>334</v>
      </c>
      <c r="C132" s="40" t="s">
        <v>127</v>
      </c>
      <c r="D132" s="40" t="s">
        <v>127</v>
      </c>
      <c r="E132" s="70">
        <v>2.0</v>
      </c>
      <c r="F132" s="74">
        <v>45789.0</v>
      </c>
      <c r="G132" s="74">
        <v>45794.0</v>
      </c>
      <c r="H132" s="75">
        <f t="shared" si="15"/>
        <v>5</v>
      </c>
      <c r="I132" s="74">
        <v>45789.0</v>
      </c>
      <c r="J132" s="74">
        <v>45794.0</v>
      </c>
      <c r="K132" s="75">
        <f t="shared" si="16"/>
        <v>5</v>
      </c>
      <c r="L132" s="36" t="b">
        <v>0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</row>
    <row r="133">
      <c r="A133" s="28" t="s">
        <v>335</v>
      </c>
      <c r="B133" s="40" t="s">
        <v>336</v>
      </c>
      <c r="C133" s="40" t="s">
        <v>127</v>
      </c>
      <c r="D133" s="40" t="s">
        <v>127</v>
      </c>
      <c r="E133" s="70">
        <v>2.0</v>
      </c>
      <c r="F133" s="74">
        <v>45789.0</v>
      </c>
      <c r="G133" s="74">
        <v>45794.0</v>
      </c>
      <c r="H133" s="75">
        <f t="shared" si="15"/>
        <v>5</v>
      </c>
      <c r="I133" s="74">
        <v>45789.0</v>
      </c>
      <c r="J133" s="74">
        <v>45794.0</v>
      </c>
      <c r="K133" s="75">
        <f t="shared" si="16"/>
        <v>5</v>
      </c>
      <c r="L133" s="36" t="b">
        <v>0</v>
      </c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</row>
    <row r="134">
      <c r="A134" s="28" t="s">
        <v>337</v>
      </c>
      <c r="B134" s="77" t="s">
        <v>338</v>
      </c>
      <c r="C134" s="40" t="s">
        <v>127</v>
      </c>
      <c r="D134" s="40" t="s">
        <v>127</v>
      </c>
      <c r="E134" s="70">
        <v>4.0</v>
      </c>
      <c r="F134" s="74">
        <v>45789.0</v>
      </c>
      <c r="G134" s="74">
        <v>45794.0</v>
      </c>
      <c r="H134" s="75">
        <f t="shared" si="15"/>
        <v>5</v>
      </c>
      <c r="I134" s="74">
        <v>45789.0</v>
      </c>
      <c r="J134" s="74">
        <v>45794.0</v>
      </c>
      <c r="K134" s="75">
        <f t="shared" si="16"/>
        <v>5</v>
      </c>
      <c r="L134" s="36" t="b">
        <v>0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  <c r="HM134" s="35"/>
      <c r="HN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  <c r="HZ134" s="35"/>
      <c r="IA134" s="35"/>
      <c r="IB134" s="35"/>
      <c r="IC134" s="35"/>
      <c r="ID134" s="35"/>
      <c r="IE134" s="35"/>
      <c r="IF134" s="35"/>
      <c r="IG134" s="35"/>
      <c r="IH134" s="35"/>
      <c r="II134" s="35"/>
      <c r="IJ134" s="35"/>
      <c r="IK134" s="35"/>
      <c r="IL134" s="35"/>
      <c r="IM134" s="35"/>
      <c r="IN134" s="35"/>
      <c r="IO134" s="35"/>
      <c r="IP134" s="35"/>
      <c r="IQ134" s="35"/>
      <c r="IR134" s="35"/>
      <c r="IS134" s="35"/>
      <c r="IT134" s="35"/>
      <c r="IU134" s="35"/>
      <c r="IV134" s="35"/>
      <c r="IW134" s="35"/>
      <c r="IX134" s="35"/>
      <c r="IY134" s="35"/>
      <c r="IZ134" s="35"/>
      <c r="JA134" s="35"/>
      <c r="JB134" s="35"/>
      <c r="JC134" s="35"/>
      <c r="JD134" s="35"/>
      <c r="JE134" s="35"/>
      <c r="JF134" s="35"/>
      <c r="JG134" s="35"/>
      <c r="JH134" s="35"/>
      <c r="JI134" s="35"/>
      <c r="JJ134" s="35"/>
      <c r="JK134" s="35"/>
      <c r="JL134" s="35"/>
      <c r="JM134" s="35"/>
      <c r="JN134" s="35"/>
      <c r="JO134" s="35"/>
      <c r="JP134" s="35"/>
      <c r="JQ134" s="35"/>
      <c r="JR134" s="35"/>
      <c r="JS134" s="35"/>
      <c r="JT134" s="35"/>
      <c r="JU134" s="35"/>
      <c r="JV134" s="35"/>
      <c r="JW134" s="35"/>
      <c r="JX134" s="35"/>
      <c r="JY134" s="35"/>
    </row>
    <row r="135">
      <c r="A135" s="28" t="s">
        <v>339</v>
      </c>
      <c r="B135" s="40" t="s">
        <v>340</v>
      </c>
      <c r="C135" s="40" t="s">
        <v>127</v>
      </c>
      <c r="D135" s="40" t="s">
        <v>127</v>
      </c>
      <c r="E135" s="70">
        <v>2.0</v>
      </c>
      <c r="F135" s="74">
        <v>45789.0</v>
      </c>
      <c r="G135" s="74">
        <v>45794.0</v>
      </c>
      <c r="H135" s="75">
        <f t="shared" si="15"/>
        <v>5</v>
      </c>
      <c r="I135" s="74">
        <v>45789.0</v>
      </c>
      <c r="J135" s="74">
        <v>45794.0</v>
      </c>
      <c r="K135" s="75">
        <f t="shared" si="16"/>
        <v>5</v>
      </c>
      <c r="L135" s="36" t="b">
        <v>0</v>
      </c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  <c r="JF135" s="35"/>
      <c r="JG135" s="35"/>
      <c r="JH135" s="35"/>
      <c r="JI135" s="35"/>
      <c r="JJ135" s="35"/>
      <c r="JK135" s="35"/>
      <c r="JL135" s="35"/>
      <c r="JM135" s="35"/>
      <c r="JN135" s="35"/>
      <c r="JO135" s="35"/>
      <c r="JP135" s="35"/>
      <c r="JQ135" s="35"/>
      <c r="JR135" s="35"/>
      <c r="JS135" s="35"/>
      <c r="JT135" s="35"/>
      <c r="JU135" s="35"/>
      <c r="JV135" s="35"/>
      <c r="JW135" s="35"/>
      <c r="JX135" s="35"/>
      <c r="JY135" s="35"/>
    </row>
    <row r="136">
      <c r="A136" s="28" t="s">
        <v>341</v>
      </c>
      <c r="B136" s="40" t="s">
        <v>342</v>
      </c>
      <c r="C136" s="40" t="s">
        <v>127</v>
      </c>
      <c r="D136" s="40" t="s">
        <v>127</v>
      </c>
      <c r="E136" s="70">
        <v>1.0</v>
      </c>
      <c r="F136" s="74">
        <v>45789.0</v>
      </c>
      <c r="G136" s="74">
        <v>45794.0</v>
      </c>
      <c r="H136" s="75">
        <f t="shared" si="15"/>
        <v>5</v>
      </c>
      <c r="I136" s="74">
        <v>45789.0</v>
      </c>
      <c r="J136" s="74">
        <v>45794.0</v>
      </c>
      <c r="K136" s="75">
        <f t="shared" si="16"/>
        <v>5</v>
      </c>
      <c r="L136" s="36" t="b">
        <v>0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  <c r="JF136" s="35"/>
      <c r="JG136" s="35"/>
      <c r="JH136" s="35"/>
      <c r="JI136" s="35"/>
      <c r="JJ136" s="35"/>
      <c r="JK136" s="35"/>
      <c r="JL136" s="35"/>
      <c r="JM136" s="35"/>
      <c r="JN136" s="35"/>
      <c r="JO136" s="35"/>
      <c r="JP136" s="35"/>
      <c r="JQ136" s="35"/>
      <c r="JR136" s="35"/>
      <c r="JS136" s="35"/>
      <c r="JT136" s="35"/>
      <c r="JU136" s="35"/>
      <c r="JV136" s="35"/>
      <c r="JW136" s="35"/>
      <c r="JX136" s="35"/>
      <c r="JY136" s="35"/>
    </row>
    <row r="137">
      <c r="A137" s="28" t="s">
        <v>343</v>
      </c>
      <c r="B137" s="40" t="s">
        <v>344</v>
      </c>
      <c r="C137" s="40" t="s">
        <v>127</v>
      </c>
      <c r="D137" s="40" t="s">
        <v>127</v>
      </c>
      <c r="E137" s="70">
        <v>2.0</v>
      </c>
      <c r="F137" s="74">
        <v>45794.0</v>
      </c>
      <c r="G137" s="74">
        <v>45795.0</v>
      </c>
      <c r="H137" s="75">
        <f t="shared" si="15"/>
        <v>1</v>
      </c>
      <c r="I137" s="74">
        <v>45794.0</v>
      </c>
      <c r="J137" s="74">
        <v>45795.0</v>
      </c>
      <c r="K137" s="75">
        <f t="shared" si="16"/>
        <v>1</v>
      </c>
      <c r="L137" s="36" t="b">
        <v>0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</row>
    <row r="138">
      <c r="A138" s="28" t="s">
        <v>345</v>
      </c>
      <c r="B138" s="40" t="s">
        <v>346</v>
      </c>
      <c r="C138" s="40" t="s">
        <v>127</v>
      </c>
      <c r="D138" s="40" t="s">
        <v>127</v>
      </c>
      <c r="E138" s="70">
        <v>3.0</v>
      </c>
      <c r="F138" s="74">
        <v>45793.0</v>
      </c>
      <c r="G138" s="74">
        <v>45795.0</v>
      </c>
      <c r="H138" s="75">
        <f t="shared" si="15"/>
        <v>2</v>
      </c>
      <c r="I138" s="74">
        <v>45793.0</v>
      </c>
      <c r="J138" s="74">
        <v>45795.0</v>
      </c>
      <c r="K138" s="75">
        <f t="shared" si="16"/>
        <v>2</v>
      </c>
      <c r="L138" s="36" t="b">
        <v>0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  <c r="JF138" s="35"/>
      <c r="JG138" s="35"/>
      <c r="JH138" s="35"/>
      <c r="JI138" s="35"/>
      <c r="JJ138" s="35"/>
      <c r="JK138" s="35"/>
      <c r="JL138" s="35"/>
      <c r="JM138" s="35"/>
      <c r="JN138" s="35"/>
      <c r="JO138" s="35"/>
      <c r="JP138" s="35"/>
      <c r="JQ138" s="35"/>
      <c r="JR138" s="35"/>
      <c r="JS138" s="35"/>
      <c r="JT138" s="35"/>
      <c r="JU138" s="35"/>
      <c r="JV138" s="35"/>
      <c r="JW138" s="35"/>
      <c r="JX138" s="35"/>
      <c r="JY138" s="35"/>
    </row>
    <row r="139">
      <c r="A139" s="28" t="s">
        <v>347</v>
      </c>
      <c r="B139" s="40" t="s">
        <v>348</v>
      </c>
      <c r="C139" s="40" t="s">
        <v>184</v>
      </c>
      <c r="D139" s="40" t="s">
        <v>184</v>
      </c>
      <c r="E139" s="70">
        <v>2.0</v>
      </c>
      <c r="F139" s="74">
        <v>45789.0</v>
      </c>
      <c r="G139" s="74">
        <v>45796.0</v>
      </c>
      <c r="H139" s="75">
        <v>7.0</v>
      </c>
      <c r="I139" s="74">
        <v>45789.0</v>
      </c>
      <c r="J139" s="74">
        <v>45796.0</v>
      </c>
      <c r="K139" s="75">
        <v>7.0</v>
      </c>
      <c r="L139" s="36" t="b">
        <v>0</v>
      </c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  <c r="HZ139" s="35"/>
      <c r="IA139" s="35"/>
      <c r="IB139" s="35"/>
      <c r="IC139" s="35"/>
      <c r="ID139" s="35"/>
      <c r="IE139" s="35"/>
      <c r="IF139" s="35"/>
      <c r="IG139" s="35"/>
      <c r="IH139" s="35"/>
      <c r="II139" s="35"/>
      <c r="IJ139" s="35"/>
      <c r="IK139" s="35"/>
      <c r="IL139" s="35"/>
      <c r="IM139" s="35"/>
      <c r="IN139" s="35"/>
      <c r="IO139" s="35"/>
      <c r="IP139" s="35"/>
      <c r="IQ139" s="35"/>
      <c r="IR139" s="35"/>
      <c r="IS139" s="35"/>
      <c r="IT139" s="35"/>
      <c r="IU139" s="35"/>
      <c r="IV139" s="35"/>
      <c r="IW139" s="35"/>
      <c r="IX139" s="35"/>
      <c r="IY139" s="35"/>
      <c r="IZ139" s="35"/>
      <c r="JA139" s="35"/>
      <c r="JB139" s="35"/>
      <c r="JC139" s="35"/>
      <c r="JD139" s="35"/>
      <c r="JE139" s="35"/>
      <c r="JF139" s="35"/>
      <c r="JG139" s="35"/>
      <c r="JH139" s="35"/>
      <c r="JI139" s="35"/>
      <c r="JJ139" s="35"/>
      <c r="JK139" s="35"/>
      <c r="JL139" s="35"/>
      <c r="JM139" s="35"/>
      <c r="JN139" s="35"/>
      <c r="JO139" s="35"/>
      <c r="JP139" s="35"/>
      <c r="JQ139" s="35"/>
      <c r="JR139" s="35"/>
      <c r="JS139" s="35"/>
      <c r="JT139" s="35"/>
      <c r="JU139" s="35"/>
      <c r="JV139" s="35"/>
      <c r="JW139" s="35"/>
      <c r="JX139" s="35"/>
      <c r="JY139" s="35"/>
    </row>
    <row r="140">
      <c r="A140" s="28" t="s">
        <v>349</v>
      </c>
      <c r="B140" s="40" t="s">
        <v>350</v>
      </c>
      <c r="C140" s="40" t="s">
        <v>184</v>
      </c>
      <c r="D140" s="40" t="s">
        <v>184</v>
      </c>
      <c r="E140" s="70">
        <v>1.0</v>
      </c>
      <c r="F140" s="74">
        <v>45790.0</v>
      </c>
      <c r="G140" s="74">
        <v>45797.0</v>
      </c>
      <c r="H140" s="75">
        <v>7.0</v>
      </c>
      <c r="I140" s="74">
        <v>45790.0</v>
      </c>
      <c r="J140" s="74">
        <v>45797.0</v>
      </c>
      <c r="K140" s="75">
        <v>7.0</v>
      </c>
      <c r="L140" s="36" t="b">
        <v>0</v>
      </c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  <c r="HZ140" s="35"/>
      <c r="IA140" s="35"/>
      <c r="IB140" s="35"/>
      <c r="IC140" s="35"/>
      <c r="ID140" s="35"/>
      <c r="IE140" s="35"/>
      <c r="IF140" s="35"/>
      <c r="IG140" s="35"/>
      <c r="IH140" s="35"/>
      <c r="II140" s="35"/>
      <c r="IJ140" s="35"/>
      <c r="IK140" s="35"/>
      <c r="IL140" s="35"/>
      <c r="IM140" s="35"/>
      <c r="IN140" s="35"/>
      <c r="IO140" s="35"/>
      <c r="IP140" s="35"/>
      <c r="IQ140" s="35"/>
      <c r="IR140" s="35"/>
      <c r="IS140" s="35"/>
      <c r="IT140" s="35"/>
      <c r="IU140" s="35"/>
      <c r="IV140" s="35"/>
      <c r="IW140" s="35"/>
      <c r="IX140" s="35"/>
      <c r="IY140" s="35"/>
      <c r="IZ140" s="35"/>
      <c r="JA140" s="35"/>
      <c r="JB140" s="35"/>
      <c r="JC140" s="35"/>
      <c r="JD140" s="35"/>
      <c r="JE140" s="35"/>
      <c r="JF140" s="35"/>
      <c r="JG140" s="35"/>
      <c r="JH140" s="35"/>
      <c r="JI140" s="35"/>
      <c r="JJ140" s="35"/>
      <c r="JK140" s="35"/>
      <c r="JL140" s="35"/>
      <c r="JM140" s="35"/>
      <c r="JN140" s="35"/>
      <c r="JO140" s="35"/>
      <c r="JP140" s="35"/>
      <c r="JQ140" s="35"/>
      <c r="JR140" s="35"/>
      <c r="JS140" s="35"/>
      <c r="JT140" s="35"/>
      <c r="JU140" s="35"/>
      <c r="JV140" s="35"/>
      <c r="JW140" s="35"/>
      <c r="JX140" s="35"/>
      <c r="JY140" s="35"/>
    </row>
    <row r="141">
      <c r="A141" s="28" t="s">
        <v>351</v>
      </c>
      <c r="B141" s="30"/>
      <c r="C141" s="78"/>
      <c r="D141" s="30"/>
      <c r="E141" s="31"/>
      <c r="F141" s="32"/>
      <c r="G141" s="32"/>
      <c r="H141" s="33"/>
      <c r="I141" s="72"/>
      <c r="J141" s="32"/>
      <c r="K141" s="33"/>
      <c r="L141" s="36" t="b">
        <v>0</v>
      </c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L141" s="35"/>
      <c r="HM141" s="35"/>
      <c r="HN141" s="35"/>
      <c r="HO141" s="35"/>
      <c r="HP141" s="35"/>
      <c r="HQ141" s="35"/>
      <c r="HR141" s="35"/>
      <c r="HS141" s="35"/>
      <c r="HT141" s="35"/>
      <c r="HU141" s="35"/>
      <c r="HV141" s="35"/>
      <c r="HW141" s="35"/>
      <c r="HX141" s="35"/>
      <c r="HY141" s="35"/>
      <c r="HZ141" s="35"/>
      <c r="IA141" s="35"/>
      <c r="IB141" s="35"/>
      <c r="IC141" s="35"/>
      <c r="ID141" s="35"/>
      <c r="IE141" s="35"/>
      <c r="IF141" s="35"/>
      <c r="IG141" s="35"/>
      <c r="IH141" s="35"/>
      <c r="II141" s="35"/>
      <c r="IJ141" s="35"/>
      <c r="IK141" s="35"/>
      <c r="IL141" s="35"/>
      <c r="IM141" s="35"/>
      <c r="IN141" s="35"/>
      <c r="IO141" s="35"/>
      <c r="IP141" s="35"/>
      <c r="IQ141" s="35"/>
      <c r="IR141" s="35"/>
      <c r="IS141" s="35"/>
      <c r="IT141" s="35"/>
      <c r="IU141" s="35"/>
      <c r="IV141" s="35"/>
      <c r="IW141" s="35"/>
      <c r="IX141" s="35"/>
      <c r="IY141" s="35"/>
      <c r="IZ141" s="35"/>
      <c r="JA141" s="35"/>
      <c r="JB141" s="35"/>
      <c r="JC141" s="35"/>
      <c r="JD141" s="35"/>
      <c r="JE141" s="35"/>
      <c r="JF141" s="35"/>
      <c r="JG141" s="35"/>
      <c r="JH141" s="35"/>
      <c r="JI141" s="35"/>
      <c r="JJ141" s="35"/>
      <c r="JK141" s="35"/>
      <c r="JL141" s="35"/>
      <c r="JM141" s="35"/>
      <c r="JN141" s="35"/>
      <c r="JO141" s="35"/>
      <c r="JP141" s="35"/>
      <c r="JQ141" s="35"/>
      <c r="JR141" s="35"/>
      <c r="JS141" s="35"/>
      <c r="JT141" s="35"/>
      <c r="JU141" s="35"/>
      <c r="JV141" s="35"/>
      <c r="JW141" s="35"/>
      <c r="JX141" s="35"/>
      <c r="JY141" s="35"/>
    </row>
    <row r="142">
      <c r="A142" s="28" t="s">
        <v>352</v>
      </c>
      <c r="B142" s="30"/>
      <c r="C142" s="78"/>
      <c r="D142" s="30"/>
      <c r="E142" s="31"/>
      <c r="F142" s="32"/>
      <c r="G142" s="32"/>
      <c r="H142" s="33"/>
      <c r="I142" s="72"/>
      <c r="J142" s="32"/>
      <c r="K142" s="33"/>
      <c r="L142" s="36" t="b">
        <v>0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  <c r="JF142" s="35"/>
      <c r="JG142" s="35"/>
      <c r="JH142" s="35"/>
      <c r="JI142" s="35"/>
      <c r="JJ142" s="35"/>
      <c r="JK142" s="35"/>
      <c r="JL142" s="35"/>
      <c r="JM142" s="35"/>
      <c r="JN142" s="35"/>
      <c r="JO142" s="35"/>
      <c r="JP142" s="35"/>
      <c r="JQ142" s="35"/>
      <c r="JR142" s="35"/>
      <c r="JS142" s="35"/>
      <c r="JT142" s="35"/>
      <c r="JU142" s="35"/>
      <c r="JV142" s="35"/>
      <c r="JW142" s="35"/>
      <c r="JX142" s="35"/>
      <c r="JY142" s="35"/>
    </row>
    <row r="143">
      <c r="A143" s="28" t="s">
        <v>353</v>
      </c>
      <c r="B143" s="30"/>
      <c r="C143" s="78"/>
      <c r="D143" s="30"/>
      <c r="E143" s="31"/>
      <c r="F143" s="32"/>
      <c r="G143" s="32"/>
      <c r="H143" s="33"/>
      <c r="I143" s="72"/>
      <c r="J143" s="32"/>
      <c r="K143" s="33"/>
      <c r="L143" s="36" t="b">
        <v>0</v>
      </c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  <c r="HM143" s="35"/>
      <c r="HN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  <c r="HZ143" s="35"/>
      <c r="IA143" s="35"/>
      <c r="IB143" s="35"/>
      <c r="IC143" s="35"/>
      <c r="ID143" s="35"/>
      <c r="IE143" s="35"/>
      <c r="IF143" s="35"/>
      <c r="IG143" s="35"/>
      <c r="IH143" s="35"/>
      <c r="II143" s="35"/>
      <c r="IJ143" s="35"/>
      <c r="IK143" s="35"/>
      <c r="IL143" s="35"/>
      <c r="IM143" s="35"/>
      <c r="IN143" s="35"/>
      <c r="IO143" s="35"/>
      <c r="IP143" s="35"/>
      <c r="IQ143" s="35"/>
      <c r="IR143" s="35"/>
      <c r="IS143" s="35"/>
      <c r="IT143" s="35"/>
      <c r="IU143" s="35"/>
      <c r="IV143" s="35"/>
      <c r="IW143" s="35"/>
      <c r="IX143" s="35"/>
      <c r="IY143" s="35"/>
      <c r="IZ143" s="35"/>
      <c r="JA143" s="35"/>
      <c r="JB143" s="35"/>
      <c r="JC143" s="35"/>
      <c r="JD143" s="35"/>
      <c r="JE143" s="35"/>
      <c r="JF143" s="35"/>
      <c r="JG143" s="35"/>
      <c r="JH143" s="35"/>
      <c r="JI143" s="35"/>
      <c r="JJ143" s="35"/>
      <c r="JK143" s="35"/>
      <c r="JL143" s="35"/>
      <c r="JM143" s="35"/>
      <c r="JN143" s="35"/>
      <c r="JO143" s="35"/>
      <c r="JP143" s="35"/>
      <c r="JQ143" s="35"/>
      <c r="JR143" s="35"/>
      <c r="JS143" s="35"/>
      <c r="JT143" s="35"/>
      <c r="JU143" s="35"/>
      <c r="JV143" s="35"/>
      <c r="JW143" s="35"/>
      <c r="JX143" s="35"/>
      <c r="JY143" s="35"/>
    </row>
    <row r="144">
      <c r="A144" s="28" t="s">
        <v>354</v>
      </c>
      <c r="B144" s="30"/>
      <c r="C144" s="78"/>
      <c r="D144" s="30"/>
      <c r="E144" s="31"/>
      <c r="F144" s="32"/>
      <c r="G144" s="32"/>
      <c r="H144" s="33"/>
      <c r="I144" s="72"/>
      <c r="J144" s="32"/>
      <c r="K144" s="33"/>
      <c r="L144" s="36" t="b">
        <v>0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  <c r="HM144" s="35"/>
      <c r="HN144" s="35"/>
      <c r="HO144" s="35"/>
      <c r="HP144" s="35"/>
      <c r="HQ144" s="35"/>
      <c r="HR144" s="35"/>
      <c r="HS144" s="35"/>
      <c r="HT144" s="35"/>
      <c r="HU144" s="35"/>
      <c r="HV144" s="35"/>
      <c r="HW144" s="35"/>
      <c r="HX144" s="35"/>
      <c r="HY144" s="35"/>
      <c r="HZ144" s="35"/>
      <c r="IA144" s="35"/>
      <c r="IB144" s="35"/>
      <c r="IC144" s="35"/>
      <c r="ID144" s="35"/>
      <c r="IE144" s="35"/>
      <c r="IF144" s="35"/>
      <c r="IG144" s="35"/>
      <c r="IH144" s="35"/>
      <c r="II144" s="35"/>
      <c r="IJ144" s="35"/>
      <c r="IK144" s="35"/>
      <c r="IL144" s="35"/>
      <c r="IM144" s="35"/>
      <c r="IN144" s="35"/>
      <c r="IO144" s="35"/>
      <c r="IP144" s="35"/>
      <c r="IQ144" s="35"/>
      <c r="IR144" s="35"/>
      <c r="IS144" s="35"/>
      <c r="IT144" s="35"/>
      <c r="IU144" s="35"/>
      <c r="IV144" s="35"/>
      <c r="IW144" s="35"/>
      <c r="IX144" s="35"/>
      <c r="IY144" s="35"/>
      <c r="IZ144" s="35"/>
      <c r="JA144" s="35"/>
      <c r="JB144" s="35"/>
      <c r="JC144" s="35"/>
      <c r="JD144" s="35"/>
      <c r="JE144" s="35"/>
      <c r="JF144" s="35"/>
      <c r="JG144" s="35"/>
      <c r="JH144" s="35"/>
      <c r="JI144" s="35"/>
      <c r="JJ144" s="35"/>
      <c r="JK144" s="35"/>
      <c r="JL144" s="35"/>
      <c r="JM144" s="35"/>
      <c r="JN144" s="35"/>
      <c r="JO144" s="35"/>
      <c r="JP144" s="35"/>
      <c r="JQ144" s="35"/>
      <c r="JR144" s="35"/>
      <c r="JS144" s="35"/>
      <c r="JT144" s="35"/>
      <c r="JU144" s="35"/>
      <c r="JV144" s="35"/>
      <c r="JW144" s="35"/>
      <c r="JX144" s="35"/>
      <c r="JY144" s="35"/>
    </row>
    <row r="145">
      <c r="A145" s="28" t="s">
        <v>355</v>
      </c>
      <c r="B145" s="30"/>
      <c r="C145" s="78"/>
      <c r="D145" s="30"/>
      <c r="E145" s="31"/>
      <c r="F145" s="32"/>
      <c r="G145" s="32"/>
      <c r="H145" s="33"/>
      <c r="I145" s="72"/>
      <c r="J145" s="32"/>
      <c r="K145" s="33"/>
      <c r="L145" s="36" t="b">
        <v>0</v>
      </c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35"/>
      <c r="FZ145" s="35"/>
      <c r="GA145" s="35"/>
      <c r="GB145" s="35"/>
      <c r="GC145" s="35"/>
      <c r="GD145" s="35"/>
      <c r="GE145" s="35"/>
      <c r="GF145" s="35"/>
      <c r="GG145" s="35"/>
      <c r="GH145" s="35"/>
      <c r="GI145" s="35"/>
      <c r="GJ145" s="35"/>
      <c r="GK145" s="35"/>
      <c r="GL145" s="35"/>
      <c r="GM145" s="35"/>
      <c r="GN145" s="35"/>
      <c r="GO145" s="35"/>
      <c r="GP145" s="35"/>
      <c r="GQ145" s="35"/>
      <c r="GR145" s="35"/>
      <c r="GS145" s="35"/>
      <c r="GT145" s="35"/>
      <c r="GU145" s="35"/>
      <c r="GV145" s="35"/>
      <c r="GW145" s="35"/>
      <c r="GX145" s="35"/>
      <c r="GY145" s="35"/>
      <c r="GZ145" s="35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L145" s="35"/>
      <c r="HM145" s="35"/>
      <c r="HN145" s="35"/>
      <c r="HO145" s="35"/>
      <c r="HP145" s="35"/>
      <c r="HQ145" s="35"/>
      <c r="HR145" s="35"/>
      <c r="HS145" s="35"/>
      <c r="HT145" s="35"/>
      <c r="HU145" s="35"/>
      <c r="HV145" s="35"/>
      <c r="HW145" s="35"/>
      <c r="HX145" s="35"/>
      <c r="HY145" s="35"/>
      <c r="HZ145" s="35"/>
      <c r="IA145" s="35"/>
      <c r="IB145" s="35"/>
      <c r="IC145" s="35"/>
      <c r="ID145" s="35"/>
      <c r="IE145" s="35"/>
      <c r="IF145" s="35"/>
      <c r="IG145" s="35"/>
      <c r="IH145" s="35"/>
      <c r="II145" s="35"/>
      <c r="IJ145" s="35"/>
      <c r="IK145" s="35"/>
      <c r="IL145" s="35"/>
      <c r="IM145" s="35"/>
      <c r="IN145" s="35"/>
      <c r="IO145" s="35"/>
      <c r="IP145" s="35"/>
      <c r="IQ145" s="35"/>
      <c r="IR145" s="35"/>
      <c r="IS145" s="35"/>
      <c r="IT145" s="35"/>
      <c r="IU145" s="35"/>
      <c r="IV145" s="35"/>
      <c r="IW145" s="35"/>
      <c r="IX145" s="35"/>
      <c r="IY145" s="35"/>
      <c r="IZ145" s="35"/>
      <c r="JA145" s="35"/>
      <c r="JB145" s="35"/>
      <c r="JC145" s="35"/>
      <c r="JD145" s="35"/>
      <c r="JE145" s="35"/>
      <c r="JF145" s="35"/>
      <c r="JG145" s="35"/>
      <c r="JH145" s="35"/>
      <c r="JI145" s="35"/>
      <c r="JJ145" s="35"/>
      <c r="JK145" s="35"/>
      <c r="JL145" s="35"/>
      <c r="JM145" s="35"/>
      <c r="JN145" s="35"/>
      <c r="JO145" s="35"/>
      <c r="JP145" s="35"/>
      <c r="JQ145" s="35"/>
      <c r="JR145" s="35"/>
      <c r="JS145" s="35"/>
      <c r="JT145" s="35"/>
      <c r="JU145" s="35"/>
      <c r="JV145" s="35"/>
      <c r="JW145" s="35"/>
      <c r="JX145" s="35"/>
      <c r="JY145" s="35"/>
    </row>
    <row r="146">
      <c r="A146" s="28" t="s">
        <v>356</v>
      </c>
      <c r="B146" s="30"/>
      <c r="C146" s="78"/>
      <c r="D146" s="30"/>
      <c r="E146" s="31"/>
      <c r="F146" s="32"/>
      <c r="G146" s="32"/>
      <c r="H146" s="33"/>
      <c r="I146" s="72"/>
      <c r="J146" s="32"/>
      <c r="K146" s="33"/>
      <c r="L146" s="36" t="b">
        <v>0</v>
      </c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  <c r="HM146" s="35"/>
      <c r="HN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  <c r="HZ146" s="35"/>
      <c r="IA146" s="35"/>
      <c r="IB146" s="35"/>
      <c r="IC146" s="35"/>
      <c r="ID146" s="35"/>
      <c r="IE146" s="35"/>
      <c r="IF146" s="35"/>
      <c r="IG146" s="35"/>
      <c r="IH146" s="35"/>
      <c r="II146" s="35"/>
      <c r="IJ146" s="35"/>
      <c r="IK146" s="35"/>
      <c r="IL146" s="35"/>
      <c r="IM146" s="35"/>
      <c r="IN146" s="35"/>
      <c r="IO146" s="35"/>
      <c r="IP146" s="35"/>
      <c r="IQ146" s="35"/>
      <c r="IR146" s="35"/>
      <c r="IS146" s="35"/>
      <c r="IT146" s="35"/>
      <c r="IU146" s="35"/>
      <c r="IV146" s="35"/>
      <c r="IW146" s="35"/>
      <c r="IX146" s="35"/>
      <c r="IY146" s="35"/>
      <c r="IZ146" s="35"/>
      <c r="JA146" s="35"/>
      <c r="JB146" s="35"/>
      <c r="JC146" s="35"/>
      <c r="JD146" s="35"/>
      <c r="JE146" s="35"/>
      <c r="JF146" s="35"/>
      <c r="JG146" s="35"/>
      <c r="JH146" s="35"/>
      <c r="JI146" s="35"/>
      <c r="JJ146" s="35"/>
      <c r="JK146" s="35"/>
      <c r="JL146" s="35"/>
      <c r="JM146" s="35"/>
      <c r="JN146" s="35"/>
      <c r="JO146" s="35"/>
      <c r="JP146" s="35"/>
      <c r="JQ146" s="35"/>
      <c r="JR146" s="35"/>
      <c r="JS146" s="35"/>
      <c r="JT146" s="35"/>
      <c r="JU146" s="35"/>
      <c r="JV146" s="35"/>
      <c r="JW146" s="35"/>
      <c r="JX146" s="35"/>
      <c r="JY146" s="35"/>
    </row>
    <row r="147">
      <c r="A147" s="28" t="s">
        <v>357</v>
      </c>
      <c r="B147" s="30"/>
      <c r="C147" s="78"/>
      <c r="D147" s="30"/>
      <c r="E147" s="31"/>
      <c r="F147" s="32"/>
      <c r="G147" s="32"/>
      <c r="H147" s="33"/>
      <c r="I147" s="72"/>
      <c r="J147" s="32"/>
      <c r="K147" s="33"/>
      <c r="L147" s="36" t="b">
        <v>0</v>
      </c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35"/>
      <c r="FZ147" s="35"/>
      <c r="GA147" s="35"/>
      <c r="GB147" s="35"/>
      <c r="GC147" s="35"/>
      <c r="GD147" s="35"/>
      <c r="GE147" s="35"/>
      <c r="GF147" s="35"/>
      <c r="GG147" s="35"/>
      <c r="GH147" s="35"/>
      <c r="GI147" s="35"/>
      <c r="GJ147" s="35"/>
      <c r="GK147" s="35"/>
      <c r="GL147" s="35"/>
      <c r="GM147" s="35"/>
      <c r="GN147" s="35"/>
      <c r="GO147" s="35"/>
      <c r="GP147" s="35"/>
      <c r="GQ147" s="35"/>
      <c r="GR147" s="35"/>
      <c r="GS147" s="35"/>
      <c r="GT147" s="35"/>
      <c r="GU147" s="35"/>
      <c r="GV147" s="35"/>
      <c r="GW147" s="35"/>
      <c r="GX147" s="35"/>
      <c r="GY147" s="35"/>
      <c r="GZ147" s="35"/>
      <c r="HA147" s="35"/>
      <c r="HB147" s="35"/>
      <c r="HC147" s="35"/>
      <c r="HD147" s="35"/>
      <c r="HE147" s="35"/>
      <c r="HF147" s="35"/>
      <c r="HG147" s="35"/>
      <c r="HH147" s="35"/>
      <c r="HI147" s="35"/>
      <c r="HJ147" s="35"/>
      <c r="HK147" s="35"/>
      <c r="HL147" s="35"/>
      <c r="HM147" s="35"/>
      <c r="HN147" s="35"/>
      <c r="HO147" s="35"/>
      <c r="HP147" s="35"/>
      <c r="HQ147" s="35"/>
      <c r="HR147" s="35"/>
      <c r="HS147" s="35"/>
      <c r="HT147" s="35"/>
      <c r="HU147" s="35"/>
      <c r="HV147" s="35"/>
      <c r="HW147" s="35"/>
      <c r="HX147" s="35"/>
      <c r="HY147" s="35"/>
      <c r="HZ147" s="35"/>
      <c r="IA147" s="35"/>
      <c r="IB147" s="35"/>
      <c r="IC147" s="35"/>
      <c r="ID147" s="35"/>
      <c r="IE147" s="35"/>
      <c r="IF147" s="35"/>
      <c r="IG147" s="35"/>
      <c r="IH147" s="35"/>
      <c r="II147" s="35"/>
      <c r="IJ147" s="35"/>
      <c r="IK147" s="35"/>
      <c r="IL147" s="35"/>
      <c r="IM147" s="35"/>
      <c r="IN147" s="35"/>
      <c r="IO147" s="35"/>
      <c r="IP147" s="35"/>
      <c r="IQ147" s="35"/>
      <c r="IR147" s="35"/>
      <c r="IS147" s="35"/>
      <c r="IT147" s="35"/>
      <c r="IU147" s="35"/>
      <c r="IV147" s="35"/>
      <c r="IW147" s="35"/>
      <c r="IX147" s="35"/>
      <c r="IY147" s="35"/>
      <c r="IZ147" s="35"/>
      <c r="JA147" s="35"/>
      <c r="JB147" s="35"/>
      <c r="JC147" s="35"/>
      <c r="JD147" s="35"/>
      <c r="JE147" s="35"/>
      <c r="JF147" s="35"/>
      <c r="JG147" s="35"/>
      <c r="JH147" s="35"/>
      <c r="JI147" s="35"/>
      <c r="JJ147" s="35"/>
      <c r="JK147" s="35"/>
      <c r="JL147" s="35"/>
      <c r="JM147" s="35"/>
      <c r="JN147" s="35"/>
      <c r="JO147" s="35"/>
      <c r="JP147" s="35"/>
      <c r="JQ147" s="35"/>
      <c r="JR147" s="35"/>
      <c r="JS147" s="35"/>
      <c r="JT147" s="35"/>
      <c r="JU147" s="35"/>
      <c r="JV147" s="35"/>
      <c r="JW147" s="35"/>
      <c r="JX147" s="35"/>
      <c r="JY147" s="35"/>
    </row>
    <row r="148">
      <c r="A148" s="28" t="s">
        <v>358</v>
      </c>
      <c r="B148" s="30"/>
      <c r="C148" s="79"/>
      <c r="D148" s="30"/>
      <c r="E148" s="31"/>
      <c r="F148" s="32"/>
      <c r="G148" s="32"/>
      <c r="H148" s="33"/>
      <c r="I148" s="72"/>
      <c r="J148" s="32"/>
      <c r="K148" s="33"/>
      <c r="L148" s="36" t="b">
        <v>0</v>
      </c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  <c r="HM148" s="35"/>
      <c r="HN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  <c r="HZ148" s="35"/>
      <c r="IA148" s="35"/>
      <c r="IB148" s="35"/>
      <c r="IC148" s="35"/>
      <c r="ID148" s="35"/>
      <c r="IE148" s="35"/>
      <c r="IF148" s="35"/>
      <c r="IG148" s="35"/>
      <c r="IH148" s="35"/>
      <c r="II148" s="35"/>
      <c r="IJ148" s="35"/>
      <c r="IK148" s="35"/>
      <c r="IL148" s="35"/>
      <c r="IM148" s="35"/>
      <c r="IN148" s="35"/>
      <c r="IO148" s="35"/>
      <c r="IP148" s="35"/>
      <c r="IQ148" s="35"/>
      <c r="IR148" s="35"/>
      <c r="IS148" s="35"/>
      <c r="IT148" s="35"/>
      <c r="IU148" s="35"/>
      <c r="IV148" s="35"/>
      <c r="IW148" s="35"/>
      <c r="IX148" s="35"/>
      <c r="IY148" s="35"/>
      <c r="IZ148" s="35"/>
      <c r="JA148" s="35"/>
      <c r="JB148" s="35"/>
      <c r="JC148" s="35"/>
      <c r="JD148" s="35"/>
      <c r="JE148" s="35"/>
      <c r="JF148" s="35"/>
      <c r="JG148" s="35"/>
      <c r="JH148" s="35"/>
      <c r="JI148" s="35"/>
      <c r="JJ148" s="35"/>
      <c r="JK148" s="35"/>
      <c r="JL148" s="35"/>
      <c r="JM148" s="35"/>
      <c r="JN148" s="35"/>
      <c r="JO148" s="35"/>
      <c r="JP148" s="35"/>
      <c r="JQ148" s="35"/>
      <c r="JR148" s="35"/>
      <c r="JS148" s="35"/>
      <c r="JT148" s="35"/>
      <c r="JU148" s="35"/>
      <c r="JV148" s="35"/>
      <c r="JW148" s="35"/>
      <c r="JX148" s="35"/>
      <c r="JY148" s="35"/>
    </row>
    <row r="149">
      <c r="A149" s="28" t="s">
        <v>359</v>
      </c>
      <c r="B149" s="30"/>
      <c r="C149" s="78"/>
      <c r="D149" s="30"/>
      <c r="E149" s="31"/>
      <c r="F149" s="32"/>
      <c r="G149" s="32"/>
      <c r="H149" s="33"/>
      <c r="I149" s="72"/>
      <c r="J149" s="32"/>
      <c r="K149" s="33"/>
      <c r="L149" s="36" t="b">
        <v>0</v>
      </c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L149" s="35"/>
      <c r="HM149" s="35"/>
      <c r="HN149" s="35"/>
      <c r="HO149" s="35"/>
      <c r="HP149" s="35"/>
      <c r="HQ149" s="35"/>
      <c r="HR149" s="35"/>
      <c r="HS149" s="35"/>
      <c r="HT149" s="35"/>
      <c r="HU149" s="35"/>
      <c r="HV149" s="35"/>
      <c r="HW149" s="35"/>
      <c r="HX149" s="35"/>
      <c r="HY149" s="35"/>
      <c r="HZ149" s="35"/>
      <c r="IA149" s="35"/>
      <c r="IB149" s="35"/>
      <c r="IC149" s="35"/>
      <c r="ID149" s="35"/>
      <c r="IE149" s="35"/>
      <c r="IF149" s="35"/>
      <c r="IG149" s="35"/>
      <c r="IH149" s="35"/>
      <c r="II149" s="35"/>
      <c r="IJ149" s="35"/>
      <c r="IK149" s="35"/>
      <c r="IL149" s="35"/>
      <c r="IM149" s="35"/>
      <c r="IN149" s="35"/>
      <c r="IO149" s="35"/>
      <c r="IP149" s="35"/>
      <c r="IQ149" s="35"/>
      <c r="IR149" s="35"/>
      <c r="IS149" s="35"/>
      <c r="IT149" s="35"/>
      <c r="IU149" s="35"/>
      <c r="IV149" s="35"/>
      <c r="IW149" s="35"/>
      <c r="IX149" s="35"/>
      <c r="IY149" s="35"/>
      <c r="IZ149" s="35"/>
      <c r="JA149" s="35"/>
      <c r="JB149" s="35"/>
      <c r="JC149" s="35"/>
      <c r="JD149" s="35"/>
      <c r="JE149" s="35"/>
      <c r="JF149" s="35"/>
      <c r="JG149" s="35"/>
      <c r="JH149" s="35"/>
      <c r="JI149" s="35"/>
      <c r="JJ149" s="35"/>
      <c r="JK149" s="35"/>
      <c r="JL149" s="35"/>
      <c r="JM149" s="35"/>
      <c r="JN149" s="35"/>
      <c r="JO149" s="35"/>
      <c r="JP149" s="35"/>
      <c r="JQ149" s="35"/>
      <c r="JR149" s="35"/>
      <c r="JS149" s="35"/>
      <c r="JT149" s="35"/>
      <c r="JU149" s="35"/>
      <c r="JV149" s="35"/>
      <c r="JW149" s="35"/>
      <c r="JX149" s="35"/>
      <c r="JY149" s="35"/>
    </row>
    <row r="150">
      <c r="A150" s="28" t="s">
        <v>360</v>
      </c>
      <c r="B150" s="30"/>
      <c r="C150" s="78"/>
      <c r="D150" s="30"/>
      <c r="E150" s="31"/>
      <c r="F150" s="32"/>
      <c r="G150" s="32"/>
      <c r="H150" s="33"/>
      <c r="I150" s="72"/>
      <c r="J150" s="32"/>
      <c r="K150" s="33"/>
      <c r="L150" s="36" t="b">
        <v>0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  <c r="HM150" s="35"/>
      <c r="HN150" s="35"/>
      <c r="HO150" s="35"/>
      <c r="HP150" s="35"/>
      <c r="HQ150" s="35"/>
      <c r="HR150" s="35"/>
      <c r="HS150" s="35"/>
      <c r="HT150" s="35"/>
      <c r="HU150" s="35"/>
      <c r="HV150" s="35"/>
      <c r="HW150" s="35"/>
      <c r="HX150" s="35"/>
      <c r="HY150" s="35"/>
      <c r="HZ150" s="35"/>
      <c r="IA150" s="35"/>
      <c r="IB150" s="35"/>
      <c r="IC150" s="35"/>
      <c r="ID150" s="35"/>
      <c r="IE150" s="35"/>
      <c r="IF150" s="35"/>
      <c r="IG150" s="35"/>
      <c r="IH150" s="35"/>
      <c r="II150" s="35"/>
      <c r="IJ150" s="35"/>
      <c r="IK150" s="35"/>
      <c r="IL150" s="35"/>
      <c r="IM150" s="35"/>
      <c r="IN150" s="35"/>
      <c r="IO150" s="35"/>
      <c r="IP150" s="35"/>
      <c r="IQ150" s="35"/>
      <c r="IR150" s="35"/>
      <c r="IS150" s="35"/>
      <c r="IT150" s="35"/>
      <c r="IU150" s="35"/>
      <c r="IV150" s="35"/>
      <c r="IW150" s="35"/>
      <c r="IX150" s="35"/>
      <c r="IY150" s="35"/>
      <c r="IZ150" s="35"/>
      <c r="JA150" s="35"/>
      <c r="JB150" s="35"/>
      <c r="JC150" s="35"/>
      <c r="JD150" s="35"/>
      <c r="JE150" s="35"/>
      <c r="JF150" s="35"/>
      <c r="JG150" s="35"/>
      <c r="JH150" s="35"/>
      <c r="JI150" s="35"/>
      <c r="JJ150" s="35"/>
      <c r="JK150" s="35"/>
      <c r="JL150" s="35"/>
      <c r="JM150" s="35"/>
      <c r="JN150" s="35"/>
      <c r="JO150" s="35"/>
      <c r="JP150" s="35"/>
      <c r="JQ150" s="35"/>
      <c r="JR150" s="35"/>
      <c r="JS150" s="35"/>
      <c r="JT150" s="35"/>
      <c r="JU150" s="35"/>
      <c r="JV150" s="35"/>
      <c r="JW150" s="35"/>
      <c r="JX150" s="35"/>
      <c r="JY150" s="35"/>
    </row>
    <row r="151">
      <c r="A151" s="28" t="s">
        <v>361</v>
      </c>
      <c r="B151" s="30"/>
      <c r="C151" s="78"/>
      <c r="D151" s="30"/>
      <c r="E151" s="31"/>
      <c r="F151" s="32"/>
      <c r="G151" s="32"/>
      <c r="H151" s="33"/>
      <c r="I151" s="72"/>
      <c r="J151" s="32"/>
      <c r="K151" s="33"/>
      <c r="L151" s="36" t="b">
        <v>0</v>
      </c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L151" s="35"/>
      <c r="HM151" s="35"/>
      <c r="HN151" s="35"/>
      <c r="HO151" s="35"/>
      <c r="HP151" s="35"/>
      <c r="HQ151" s="35"/>
      <c r="HR151" s="35"/>
      <c r="HS151" s="35"/>
      <c r="HT151" s="35"/>
      <c r="HU151" s="35"/>
      <c r="HV151" s="35"/>
      <c r="HW151" s="35"/>
      <c r="HX151" s="35"/>
      <c r="HY151" s="35"/>
      <c r="HZ151" s="35"/>
      <c r="IA151" s="35"/>
      <c r="IB151" s="35"/>
      <c r="IC151" s="35"/>
      <c r="ID151" s="35"/>
      <c r="IE151" s="35"/>
      <c r="IF151" s="35"/>
      <c r="IG151" s="35"/>
      <c r="IH151" s="35"/>
      <c r="II151" s="35"/>
      <c r="IJ151" s="35"/>
      <c r="IK151" s="35"/>
      <c r="IL151" s="35"/>
      <c r="IM151" s="35"/>
      <c r="IN151" s="35"/>
      <c r="IO151" s="35"/>
      <c r="IP151" s="35"/>
      <c r="IQ151" s="35"/>
      <c r="IR151" s="35"/>
      <c r="IS151" s="35"/>
      <c r="IT151" s="35"/>
      <c r="IU151" s="35"/>
      <c r="IV151" s="35"/>
      <c r="IW151" s="35"/>
      <c r="IX151" s="35"/>
      <c r="IY151" s="35"/>
      <c r="IZ151" s="35"/>
      <c r="JA151" s="35"/>
      <c r="JB151" s="35"/>
      <c r="JC151" s="35"/>
      <c r="JD151" s="35"/>
      <c r="JE151" s="35"/>
      <c r="JF151" s="35"/>
      <c r="JG151" s="35"/>
      <c r="JH151" s="35"/>
      <c r="JI151" s="35"/>
      <c r="JJ151" s="35"/>
      <c r="JK151" s="35"/>
      <c r="JL151" s="35"/>
      <c r="JM151" s="35"/>
      <c r="JN151" s="35"/>
      <c r="JO151" s="35"/>
      <c r="JP151" s="35"/>
      <c r="JQ151" s="35"/>
      <c r="JR151" s="35"/>
      <c r="JS151" s="35"/>
      <c r="JT151" s="35"/>
      <c r="JU151" s="35"/>
      <c r="JV151" s="35"/>
      <c r="JW151" s="35"/>
      <c r="JX151" s="35"/>
      <c r="JY151" s="35"/>
    </row>
    <row r="152">
      <c r="A152" s="28" t="s">
        <v>362</v>
      </c>
      <c r="B152" s="30"/>
      <c r="C152" s="78"/>
      <c r="D152" s="30"/>
      <c r="E152" s="31"/>
      <c r="F152" s="32"/>
      <c r="G152" s="32"/>
      <c r="H152" s="33"/>
      <c r="I152" s="72"/>
      <c r="J152" s="32"/>
      <c r="K152" s="33"/>
      <c r="L152" s="36" t="b">
        <v>0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  <c r="HM152" s="35"/>
      <c r="HN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  <c r="HZ152" s="35"/>
      <c r="IA152" s="35"/>
      <c r="IB152" s="35"/>
      <c r="IC152" s="35"/>
      <c r="ID152" s="35"/>
      <c r="IE152" s="35"/>
      <c r="IF152" s="35"/>
      <c r="IG152" s="35"/>
      <c r="IH152" s="35"/>
      <c r="II152" s="35"/>
      <c r="IJ152" s="35"/>
      <c r="IK152" s="35"/>
      <c r="IL152" s="35"/>
      <c r="IM152" s="35"/>
      <c r="IN152" s="35"/>
      <c r="IO152" s="35"/>
      <c r="IP152" s="35"/>
      <c r="IQ152" s="35"/>
      <c r="IR152" s="35"/>
      <c r="IS152" s="35"/>
      <c r="IT152" s="35"/>
      <c r="IU152" s="35"/>
      <c r="IV152" s="35"/>
      <c r="IW152" s="35"/>
      <c r="IX152" s="35"/>
      <c r="IY152" s="35"/>
      <c r="IZ152" s="35"/>
      <c r="JA152" s="35"/>
      <c r="JB152" s="35"/>
      <c r="JC152" s="35"/>
      <c r="JD152" s="35"/>
      <c r="JE152" s="35"/>
      <c r="JF152" s="35"/>
      <c r="JG152" s="35"/>
      <c r="JH152" s="35"/>
      <c r="JI152" s="35"/>
      <c r="JJ152" s="35"/>
      <c r="JK152" s="35"/>
      <c r="JL152" s="35"/>
      <c r="JM152" s="35"/>
      <c r="JN152" s="35"/>
      <c r="JO152" s="35"/>
      <c r="JP152" s="35"/>
      <c r="JQ152" s="35"/>
      <c r="JR152" s="35"/>
      <c r="JS152" s="35"/>
      <c r="JT152" s="35"/>
      <c r="JU152" s="35"/>
      <c r="JV152" s="35"/>
      <c r="JW152" s="35"/>
      <c r="JX152" s="35"/>
      <c r="JY152" s="35"/>
    </row>
    <row r="153">
      <c r="A153" s="28" t="s">
        <v>363</v>
      </c>
      <c r="B153" s="30"/>
      <c r="C153" s="78"/>
      <c r="D153" s="30"/>
      <c r="E153" s="31"/>
      <c r="F153" s="32"/>
      <c r="G153" s="32"/>
      <c r="H153" s="33"/>
      <c r="I153" s="72"/>
      <c r="J153" s="32"/>
      <c r="K153" s="33"/>
      <c r="L153" s="36" t="b">
        <v>0</v>
      </c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L153" s="35"/>
      <c r="HM153" s="35"/>
      <c r="HN153" s="35"/>
      <c r="HO153" s="35"/>
      <c r="HP153" s="35"/>
      <c r="HQ153" s="35"/>
      <c r="HR153" s="35"/>
      <c r="HS153" s="35"/>
      <c r="HT153" s="35"/>
      <c r="HU153" s="35"/>
      <c r="HV153" s="35"/>
      <c r="HW153" s="35"/>
      <c r="HX153" s="35"/>
      <c r="HY153" s="35"/>
      <c r="HZ153" s="35"/>
      <c r="IA153" s="35"/>
      <c r="IB153" s="35"/>
      <c r="IC153" s="35"/>
      <c r="ID153" s="35"/>
      <c r="IE153" s="35"/>
      <c r="IF153" s="35"/>
      <c r="IG153" s="35"/>
      <c r="IH153" s="35"/>
      <c r="II153" s="35"/>
      <c r="IJ153" s="35"/>
      <c r="IK153" s="35"/>
      <c r="IL153" s="35"/>
      <c r="IM153" s="35"/>
      <c r="IN153" s="35"/>
      <c r="IO153" s="35"/>
      <c r="IP153" s="35"/>
      <c r="IQ153" s="35"/>
      <c r="IR153" s="35"/>
      <c r="IS153" s="35"/>
      <c r="IT153" s="35"/>
      <c r="IU153" s="35"/>
      <c r="IV153" s="35"/>
      <c r="IW153" s="35"/>
      <c r="IX153" s="35"/>
      <c r="IY153" s="35"/>
      <c r="IZ153" s="35"/>
      <c r="JA153" s="35"/>
      <c r="JB153" s="35"/>
      <c r="JC153" s="35"/>
      <c r="JD153" s="35"/>
      <c r="JE153" s="35"/>
      <c r="JF153" s="35"/>
      <c r="JG153" s="35"/>
      <c r="JH153" s="35"/>
      <c r="JI153" s="35"/>
      <c r="JJ153" s="35"/>
      <c r="JK153" s="35"/>
      <c r="JL153" s="35"/>
      <c r="JM153" s="35"/>
      <c r="JN153" s="35"/>
      <c r="JO153" s="35"/>
      <c r="JP153" s="35"/>
      <c r="JQ153" s="35"/>
      <c r="JR153" s="35"/>
      <c r="JS153" s="35"/>
      <c r="JT153" s="35"/>
      <c r="JU153" s="35"/>
      <c r="JV153" s="35"/>
      <c r="JW153" s="35"/>
      <c r="JX153" s="35"/>
      <c r="JY153" s="35"/>
    </row>
    <row r="154">
      <c r="A154" s="28" t="s">
        <v>364</v>
      </c>
      <c r="B154" s="30"/>
      <c r="C154" s="78"/>
      <c r="D154" s="30"/>
      <c r="E154" s="31"/>
      <c r="F154" s="32"/>
      <c r="G154" s="32"/>
      <c r="H154" s="33"/>
      <c r="I154" s="72"/>
      <c r="J154" s="32"/>
      <c r="K154" s="33"/>
      <c r="L154" s="36" t="b">
        <v>0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  <c r="HM154" s="35"/>
      <c r="HN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  <c r="HZ154" s="35"/>
      <c r="IA154" s="35"/>
      <c r="IB154" s="35"/>
      <c r="IC154" s="35"/>
      <c r="ID154" s="35"/>
      <c r="IE154" s="35"/>
      <c r="IF154" s="35"/>
      <c r="IG154" s="35"/>
      <c r="IH154" s="35"/>
      <c r="II154" s="35"/>
      <c r="IJ154" s="35"/>
      <c r="IK154" s="35"/>
      <c r="IL154" s="35"/>
      <c r="IM154" s="35"/>
      <c r="IN154" s="35"/>
      <c r="IO154" s="35"/>
      <c r="IP154" s="35"/>
      <c r="IQ154" s="35"/>
      <c r="IR154" s="35"/>
      <c r="IS154" s="35"/>
      <c r="IT154" s="35"/>
      <c r="IU154" s="35"/>
      <c r="IV154" s="35"/>
      <c r="IW154" s="35"/>
      <c r="IX154" s="35"/>
      <c r="IY154" s="35"/>
      <c r="IZ154" s="35"/>
      <c r="JA154" s="35"/>
      <c r="JB154" s="35"/>
      <c r="JC154" s="35"/>
      <c r="JD154" s="35"/>
      <c r="JE154" s="35"/>
      <c r="JF154" s="35"/>
      <c r="JG154" s="35"/>
      <c r="JH154" s="35"/>
      <c r="JI154" s="35"/>
      <c r="JJ154" s="35"/>
      <c r="JK154" s="35"/>
      <c r="JL154" s="35"/>
      <c r="JM154" s="35"/>
      <c r="JN154" s="35"/>
      <c r="JO154" s="35"/>
      <c r="JP154" s="35"/>
      <c r="JQ154" s="35"/>
      <c r="JR154" s="35"/>
      <c r="JS154" s="35"/>
      <c r="JT154" s="35"/>
      <c r="JU154" s="35"/>
      <c r="JV154" s="35"/>
      <c r="JW154" s="35"/>
      <c r="JX154" s="35"/>
      <c r="JY154" s="35"/>
    </row>
    <row r="155">
      <c r="A155" s="28" t="s">
        <v>365</v>
      </c>
      <c r="B155" s="30"/>
      <c r="C155" s="78"/>
      <c r="D155" s="30"/>
      <c r="E155" s="31"/>
      <c r="F155" s="32"/>
      <c r="G155" s="32"/>
      <c r="H155" s="33"/>
      <c r="I155" s="72"/>
      <c r="J155" s="32"/>
      <c r="K155" s="33"/>
      <c r="L155" s="36" t="b">
        <v>0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L155" s="35"/>
      <c r="HM155" s="35"/>
      <c r="HN155" s="35"/>
      <c r="HO155" s="35"/>
      <c r="HP155" s="35"/>
      <c r="HQ155" s="35"/>
      <c r="HR155" s="35"/>
      <c r="HS155" s="35"/>
      <c r="HT155" s="35"/>
      <c r="HU155" s="35"/>
      <c r="HV155" s="35"/>
      <c r="HW155" s="35"/>
      <c r="HX155" s="35"/>
      <c r="HY155" s="35"/>
      <c r="HZ155" s="35"/>
      <c r="IA155" s="35"/>
      <c r="IB155" s="35"/>
      <c r="IC155" s="35"/>
      <c r="ID155" s="35"/>
      <c r="IE155" s="35"/>
      <c r="IF155" s="35"/>
      <c r="IG155" s="35"/>
      <c r="IH155" s="35"/>
      <c r="II155" s="35"/>
      <c r="IJ155" s="35"/>
      <c r="IK155" s="35"/>
      <c r="IL155" s="35"/>
      <c r="IM155" s="35"/>
      <c r="IN155" s="35"/>
      <c r="IO155" s="35"/>
      <c r="IP155" s="35"/>
      <c r="IQ155" s="35"/>
      <c r="IR155" s="35"/>
      <c r="IS155" s="35"/>
      <c r="IT155" s="35"/>
      <c r="IU155" s="35"/>
      <c r="IV155" s="35"/>
      <c r="IW155" s="35"/>
      <c r="IX155" s="35"/>
      <c r="IY155" s="35"/>
      <c r="IZ155" s="35"/>
      <c r="JA155" s="35"/>
      <c r="JB155" s="35"/>
      <c r="JC155" s="35"/>
      <c r="JD155" s="35"/>
      <c r="JE155" s="35"/>
      <c r="JF155" s="35"/>
      <c r="JG155" s="35"/>
      <c r="JH155" s="35"/>
      <c r="JI155" s="35"/>
      <c r="JJ155" s="35"/>
      <c r="JK155" s="35"/>
      <c r="JL155" s="35"/>
      <c r="JM155" s="35"/>
      <c r="JN155" s="35"/>
      <c r="JO155" s="35"/>
      <c r="JP155" s="35"/>
      <c r="JQ155" s="35"/>
      <c r="JR155" s="35"/>
      <c r="JS155" s="35"/>
      <c r="JT155" s="35"/>
      <c r="JU155" s="35"/>
      <c r="JV155" s="35"/>
      <c r="JW155" s="35"/>
      <c r="JX155" s="35"/>
      <c r="JY155" s="35"/>
    </row>
    <row r="156">
      <c r="A156" s="28" t="s">
        <v>366</v>
      </c>
      <c r="B156" s="30"/>
      <c r="C156" s="78"/>
      <c r="D156" s="30"/>
      <c r="E156" s="31"/>
      <c r="F156" s="32"/>
      <c r="G156" s="32"/>
      <c r="H156" s="33"/>
      <c r="I156" s="72"/>
      <c r="J156" s="32"/>
      <c r="K156" s="33"/>
      <c r="L156" s="36" t="b">
        <v>0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  <c r="HM156" s="35"/>
      <c r="HN156" s="35"/>
      <c r="HO156" s="35"/>
      <c r="HP156" s="35"/>
      <c r="HQ156" s="35"/>
      <c r="HR156" s="35"/>
      <c r="HS156" s="35"/>
      <c r="HT156" s="35"/>
      <c r="HU156" s="35"/>
      <c r="HV156" s="35"/>
      <c r="HW156" s="35"/>
      <c r="HX156" s="35"/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  <c r="II156" s="35"/>
      <c r="IJ156" s="35"/>
      <c r="IK156" s="35"/>
      <c r="IL156" s="35"/>
      <c r="IM156" s="35"/>
      <c r="IN156" s="35"/>
      <c r="IO156" s="35"/>
      <c r="IP156" s="35"/>
      <c r="IQ156" s="35"/>
      <c r="IR156" s="35"/>
      <c r="IS156" s="35"/>
      <c r="IT156" s="35"/>
      <c r="IU156" s="35"/>
      <c r="IV156" s="35"/>
      <c r="IW156" s="35"/>
      <c r="IX156" s="35"/>
      <c r="IY156" s="35"/>
      <c r="IZ156" s="35"/>
      <c r="JA156" s="35"/>
      <c r="JB156" s="35"/>
      <c r="JC156" s="35"/>
      <c r="JD156" s="35"/>
      <c r="JE156" s="35"/>
      <c r="JF156" s="35"/>
      <c r="JG156" s="35"/>
      <c r="JH156" s="35"/>
      <c r="JI156" s="35"/>
      <c r="JJ156" s="35"/>
      <c r="JK156" s="35"/>
      <c r="JL156" s="35"/>
      <c r="JM156" s="35"/>
      <c r="JN156" s="35"/>
      <c r="JO156" s="35"/>
      <c r="JP156" s="35"/>
      <c r="JQ156" s="35"/>
      <c r="JR156" s="35"/>
      <c r="JS156" s="35"/>
      <c r="JT156" s="35"/>
      <c r="JU156" s="35"/>
      <c r="JV156" s="35"/>
      <c r="JW156" s="35"/>
      <c r="JX156" s="35"/>
      <c r="JY156" s="35"/>
    </row>
    <row r="157">
      <c r="A157" s="28" t="s">
        <v>367</v>
      </c>
      <c r="B157" s="30"/>
      <c r="C157" s="78"/>
      <c r="D157" s="30"/>
      <c r="E157" s="31"/>
      <c r="F157" s="32"/>
      <c r="G157" s="32"/>
      <c r="H157" s="33"/>
      <c r="I157" s="72"/>
      <c r="J157" s="32"/>
      <c r="K157" s="33"/>
      <c r="L157" s="36" t="b">
        <v>0</v>
      </c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L157" s="35"/>
      <c r="HM157" s="35"/>
      <c r="HN157" s="35"/>
      <c r="HO157" s="35"/>
      <c r="HP157" s="35"/>
      <c r="HQ157" s="35"/>
      <c r="HR157" s="35"/>
      <c r="HS157" s="35"/>
      <c r="HT157" s="35"/>
      <c r="HU157" s="35"/>
      <c r="HV157" s="35"/>
      <c r="HW157" s="35"/>
      <c r="HX157" s="35"/>
      <c r="HY157" s="35"/>
      <c r="HZ157" s="35"/>
      <c r="IA157" s="35"/>
      <c r="IB157" s="35"/>
      <c r="IC157" s="35"/>
      <c r="ID157" s="35"/>
      <c r="IE157" s="35"/>
      <c r="IF157" s="35"/>
      <c r="IG157" s="35"/>
      <c r="IH157" s="35"/>
      <c r="II157" s="35"/>
      <c r="IJ157" s="35"/>
      <c r="IK157" s="35"/>
      <c r="IL157" s="35"/>
      <c r="IM157" s="35"/>
      <c r="IN157" s="35"/>
      <c r="IO157" s="35"/>
      <c r="IP157" s="35"/>
      <c r="IQ157" s="35"/>
      <c r="IR157" s="35"/>
      <c r="IS157" s="35"/>
      <c r="IT157" s="35"/>
      <c r="IU157" s="35"/>
      <c r="IV157" s="35"/>
      <c r="IW157" s="35"/>
      <c r="IX157" s="35"/>
      <c r="IY157" s="35"/>
      <c r="IZ157" s="35"/>
      <c r="JA157" s="35"/>
      <c r="JB157" s="35"/>
      <c r="JC157" s="35"/>
      <c r="JD157" s="35"/>
      <c r="JE157" s="35"/>
      <c r="JF157" s="35"/>
      <c r="JG157" s="35"/>
      <c r="JH157" s="35"/>
      <c r="JI157" s="35"/>
      <c r="JJ157" s="35"/>
      <c r="JK157" s="35"/>
      <c r="JL157" s="35"/>
      <c r="JM157" s="35"/>
      <c r="JN157" s="35"/>
      <c r="JO157" s="35"/>
      <c r="JP157" s="35"/>
      <c r="JQ157" s="35"/>
      <c r="JR157" s="35"/>
      <c r="JS157" s="35"/>
      <c r="JT157" s="35"/>
      <c r="JU157" s="35"/>
      <c r="JV157" s="35"/>
      <c r="JW157" s="35"/>
      <c r="JX157" s="35"/>
      <c r="JY157" s="35"/>
    </row>
    <row r="158">
      <c r="A158" s="28" t="s">
        <v>368</v>
      </c>
      <c r="B158" s="30"/>
      <c r="C158" s="78"/>
      <c r="D158" s="30"/>
      <c r="E158" s="31"/>
      <c r="F158" s="32"/>
      <c r="G158" s="32"/>
      <c r="H158" s="33"/>
      <c r="I158" s="72"/>
      <c r="J158" s="32"/>
      <c r="K158" s="33"/>
      <c r="L158" s="36" t="b">
        <v>0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  <c r="FS158" s="35"/>
      <c r="FT158" s="35"/>
      <c r="FU158" s="35"/>
      <c r="FV158" s="35"/>
      <c r="FW158" s="35"/>
      <c r="FX158" s="35"/>
      <c r="FY158" s="35"/>
      <c r="FZ158" s="35"/>
      <c r="GA158" s="35"/>
      <c r="GB158" s="35"/>
      <c r="GC158" s="35"/>
      <c r="GD158" s="35"/>
      <c r="GE158" s="35"/>
      <c r="GF158" s="35"/>
      <c r="GG158" s="35"/>
      <c r="GH158" s="35"/>
      <c r="GI158" s="35"/>
      <c r="GJ158" s="35"/>
      <c r="GK158" s="35"/>
      <c r="GL158" s="35"/>
      <c r="GM158" s="35"/>
      <c r="GN158" s="35"/>
      <c r="GO158" s="35"/>
      <c r="GP158" s="35"/>
      <c r="GQ158" s="35"/>
      <c r="GR158" s="35"/>
      <c r="GS158" s="35"/>
      <c r="GT158" s="35"/>
      <c r="GU158" s="35"/>
      <c r="GV158" s="35"/>
      <c r="GW158" s="35"/>
      <c r="GX158" s="35"/>
      <c r="GY158" s="35"/>
      <c r="GZ158" s="35"/>
      <c r="HA158" s="35"/>
      <c r="HB158" s="35"/>
      <c r="HC158" s="35"/>
      <c r="HD158" s="35"/>
      <c r="HE158" s="35"/>
      <c r="HF158" s="35"/>
      <c r="HG158" s="35"/>
      <c r="HH158" s="35"/>
      <c r="HI158" s="35"/>
      <c r="HJ158" s="35"/>
      <c r="HK158" s="35"/>
      <c r="HL158" s="35"/>
      <c r="HM158" s="35"/>
      <c r="HN158" s="35"/>
      <c r="HO158" s="35"/>
      <c r="HP158" s="35"/>
      <c r="HQ158" s="35"/>
      <c r="HR158" s="35"/>
      <c r="HS158" s="35"/>
      <c r="HT158" s="35"/>
      <c r="HU158" s="35"/>
      <c r="HV158" s="35"/>
      <c r="HW158" s="35"/>
      <c r="HX158" s="35"/>
      <c r="HY158" s="35"/>
      <c r="HZ158" s="35"/>
      <c r="IA158" s="35"/>
      <c r="IB158" s="35"/>
      <c r="IC158" s="35"/>
      <c r="ID158" s="35"/>
      <c r="IE158" s="35"/>
      <c r="IF158" s="35"/>
      <c r="IG158" s="35"/>
      <c r="IH158" s="35"/>
      <c r="II158" s="35"/>
      <c r="IJ158" s="35"/>
      <c r="IK158" s="35"/>
      <c r="IL158" s="35"/>
      <c r="IM158" s="35"/>
      <c r="IN158" s="35"/>
      <c r="IO158" s="35"/>
      <c r="IP158" s="35"/>
      <c r="IQ158" s="35"/>
      <c r="IR158" s="35"/>
      <c r="IS158" s="35"/>
      <c r="IT158" s="35"/>
      <c r="IU158" s="35"/>
      <c r="IV158" s="35"/>
      <c r="IW158" s="35"/>
      <c r="IX158" s="35"/>
      <c r="IY158" s="35"/>
      <c r="IZ158" s="35"/>
      <c r="JA158" s="35"/>
      <c r="JB158" s="35"/>
      <c r="JC158" s="35"/>
      <c r="JD158" s="35"/>
      <c r="JE158" s="35"/>
      <c r="JF158" s="35"/>
      <c r="JG158" s="35"/>
      <c r="JH158" s="35"/>
      <c r="JI158" s="35"/>
      <c r="JJ158" s="35"/>
      <c r="JK158" s="35"/>
      <c r="JL158" s="35"/>
      <c r="JM158" s="35"/>
      <c r="JN158" s="35"/>
      <c r="JO158" s="35"/>
      <c r="JP158" s="35"/>
      <c r="JQ158" s="35"/>
      <c r="JR158" s="35"/>
      <c r="JS158" s="35"/>
      <c r="JT158" s="35"/>
      <c r="JU158" s="35"/>
      <c r="JV158" s="35"/>
      <c r="JW158" s="35"/>
      <c r="JX158" s="35"/>
      <c r="JY158" s="35"/>
    </row>
    <row r="159">
      <c r="A159" s="28" t="s">
        <v>369</v>
      </c>
      <c r="B159" s="30"/>
      <c r="C159" s="78"/>
      <c r="D159" s="30"/>
      <c r="E159" s="31"/>
      <c r="F159" s="32"/>
      <c r="G159" s="32"/>
      <c r="H159" s="33"/>
      <c r="I159" s="72"/>
      <c r="J159" s="32"/>
      <c r="K159" s="33"/>
      <c r="L159" s="36" t="b">
        <v>0</v>
      </c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  <c r="FS159" s="35"/>
      <c r="FT159" s="35"/>
      <c r="FU159" s="35"/>
      <c r="FV159" s="35"/>
      <c r="FW159" s="35"/>
      <c r="FX159" s="35"/>
      <c r="FY159" s="35"/>
      <c r="FZ159" s="35"/>
      <c r="GA159" s="35"/>
      <c r="GB159" s="35"/>
      <c r="GC159" s="35"/>
      <c r="GD159" s="35"/>
      <c r="GE159" s="35"/>
      <c r="GF159" s="35"/>
      <c r="GG159" s="35"/>
      <c r="GH159" s="35"/>
      <c r="GI159" s="35"/>
      <c r="GJ159" s="35"/>
      <c r="GK159" s="35"/>
      <c r="GL159" s="35"/>
      <c r="GM159" s="35"/>
      <c r="GN159" s="35"/>
      <c r="GO159" s="35"/>
      <c r="GP159" s="35"/>
      <c r="GQ159" s="35"/>
      <c r="GR159" s="35"/>
      <c r="GS159" s="35"/>
      <c r="GT159" s="35"/>
      <c r="GU159" s="35"/>
      <c r="GV159" s="35"/>
      <c r="GW159" s="35"/>
      <c r="GX159" s="35"/>
      <c r="GY159" s="35"/>
      <c r="GZ159" s="35"/>
      <c r="HA159" s="35"/>
      <c r="HB159" s="35"/>
      <c r="HC159" s="35"/>
      <c r="HD159" s="35"/>
      <c r="HE159" s="35"/>
      <c r="HF159" s="35"/>
      <c r="HG159" s="35"/>
      <c r="HH159" s="35"/>
      <c r="HI159" s="35"/>
      <c r="HJ159" s="35"/>
      <c r="HK159" s="35"/>
      <c r="HL159" s="35"/>
      <c r="HM159" s="35"/>
      <c r="HN159" s="35"/>
      <c r="HO159" s="35"/>
      <c r="HP159" s="35"/>
      <c r="HQ159" s="35"/>
      <c r="HR159" s="35"/>
      <c r="HS159" s="35"/>
      <c r="HT159" s="35"/>
      <c r="HU159" s="35"/>
      <c r="HV159" s="35"/>
      <c r="HW159" s="35"/>
      <c r="HX159" s="35"/>
      <c r="HY159" s="35"/>
      <c r="HZ159" s="35"/>
      <c r="IA159" s="35"/>
      <c r="IB159" s="35"/>
      <c r="IC159" s="35"/>
      <c r="ID159" s="35"/>
      <c r="IE159" s="35"/>
      <c r="IF159" s="35"/>
      <c r="IG159" s="35"/>
      <c r="IH159" s="35"/>
      <c r="II159" s="35"/>
      <c r="IJ159" s="35"/>
      <c r="IK159" s="35"/>
      <c r="IL159" s="35"/>
      <c r="IM159" s="35"/>
      <c r="IN159" s="35"/>
      <c r="IO159" s="35"/>
      <c r="IP159" s="35"/>
      <c r="IQ159" s="35"/>
      <c r="IR159" s="35"/>
      <c r="IS159" s="35"/>
      <c r="IT159" s="35"/>
      <c r="IU159" s="35"/>
      <c r="IV159" s="35"/>
      <c r="IW159" s="35"/>
      <c r="IX159" s="35"/>
      <c r="IY159" s="35"/>
      <c r="IZ159" s="35"/>
      <c r="JA159" s="35"/>
      <c r="JB159" s="35"/>
      <c r="JC159" s="35"/>
      <c r="JD159" s="35"/>
      <c r="JE159" s="35"/>
      <c r="JF159" s="35"/>
      <c r="JG159" s="35"/>
      <c r="JH159" s="35"/>
      <c r="JI159" s="35"/>
      <c r="JJ159" s="35"/>
      <c r="JK159" s="35"/>
      <c r="JL159" s="35"/>
      <c r="JM159" s="35"/>
      <c r="JN159" s="35"/>
      <c r="JO159" s="35"/>
      <c r="JP159" s="35"/>
      <c r="JQ159" s="35"/>
      <c r="JR159" s="35"/>
      <c r="JS159" s="35"/>
      <c r="JT159" s="35"/>
      <c r="JU159" s="35"/>
      <c r="JV159" s="35"/>
      <c r="JW159" s="35"/>
      <c r="JX159" s="35"/>
      <c r="JY159" s="35"/>
    </row>
    <row r="160">
      <c r="A160" s="28" t="s">
        <v>370</v>
      </c>
      <c r="B160" s="30"/>
      <c r="C160" s="78"/>
      <c r="D160" s="30"/>
      <c r="E160" s="31"/>
      <c r="F160" s="32"/>
      <c r="G160" s="32"/>
      <c r="H160" s="33"/>
      <c r="I160" s="72"/>
      <c r="J160" s="32"/>
      <c r="K160" s="33"/>
      <c r="L160" s="36" t="b">
        <v>0</v>
      </c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  <c r="FS160" s="35"/>
      <c r="FT160" s="35"/>
      <c r="FU160" s="35"/>
      <c r="FV160" s="35"/>
      <c r="FW160" s="35"/>
      <c r="FX160" s="35"/>
      <c r="FY160" s="35"/>
      <c r="FZ160" s="35"/>
      <c r="GA160" s="35"/>
      <c r="GB160" s="35"/>
      <c r="GC160" s="35"/>
      <c r="GD160" s="35"/>
      <c r="GE160" s="35"/>
      <c r="GF160" s="35"/>
      <c r="GG160" s="35"/>
      <c r="GH160" s="35"/>
      <c r="GI160" s="35"/>
      <c r="GJ160" s="35"/>
      <c r="GK160" s="35"/>
      <c r="GL160" s="35"/>
      <c r="GM160" s="35"/>
      <c r="GN160" s="35"/>
      <c r="GO160" s="35"/>
      <c r="GP160" s="35"/>
      <c r="GQ160" s="35"/>
      <c r="GR160" s="35"/>
      <c r="GS160" s="35"/>
      <c r="GT160" s="35"/>
      <c r="GU160" s="35"/>
      <c r="GV160" s="35"/>
      <c r="GW160" s="35"/>
      <c r="GX160" s="35"/>
      <c r="GY160" s="35"/>
      <c r="GZ160" s="35"/>
      <c r="HA160" s="35"/>
      <c r="HB160" s="35"/>
      <c r="HC160" s="35"/>
      <c r="HD160" s="35"/>
      <c r="HE160" s="35"/>
      <c r="HF160" s="35"/>
      <c r="HG160" s="35"/>
      <c r="HH160" s="35"/>
      <c r="HI160" s="35"/>
      <c r="HJ160" s="35"/>
      <c r="HK160" s="35"/>
      <c r="HL160" s="35"/>
      <c r="HM160" s="35"/>
      <c r="HN160" s="35"/>
      <c r="HO160" s="35"/>
      <c r="HP160" s="35"/>
      <c r="HQ160" s="35"/>
      <c r="HR160" s="35"/>
      <c r="HS160" s="35"/>
      <c r="HT160" s="35"/>
      <c r="HU160" s="35"/>
      <c r="HV160" s="35"/>
      <c r="HW160" s="35"/>
      <c r="HX160" s="35"/>
      <c r="HY160" s="35"/>
      <c r="HZ160" s="35"/>
      <c r="IA160" s="35"/>
      <c r="IB160" s="35"/>
      <c r="IC160" s="35"/>
      <c r="ID160" s="35"/>
      <c r="IE160" s="35"/>
      <c r="IF160" s="35"/>
      <c r="IG160" s="35"/>
      <c r="IH160" s="35"/>
      <c r="II160" s="35"/>
      <c r="IJ160" s="35"/>
      <c r="IK160" s="35"/>
      <c r="IL160" s="35"/>
      <c r="IM160" s="35"/>
      <c r="IN160" s="35"/>
      <c r="IO160" s="35"/>
      <c r="IP160" s="35"/>
      <c r="IQ160" s="35"/>
      <c r="IR160" s="35"/>
      <c r="IS160" s="35"/>
      <c r="IT160" s="35"/>
      <c r="IU160" s="35"/>
      <c r="IV160" s="35"/>
      <c r="IW160" s="35"/>
      <c r="IX160" s="35"/>
      <c r="IY160" s="35"/>
      <c r="IZ160" s="35"/>
      <c r="JA160" s="35"/>
      <c r="JB160" s="35"/>
      <c r="JC160" s="35"/>
      <c r="JD160" s="35"/>
      <c r="JE160" s="35"/>
      <c r="JF160" s="35"/>
      <c r="JG160" s="35"/>
      <c r="JH160" s="35"/>
      <c r="JI160" s="35"/>
      <c r="JJ160" s="35"/>
      <c r="JK160" s="35"/>
      <c r="JL160" s="35"/>
      <c r="JM160" s="35"/>
      <c r="JN160" s="35"/>
      <c r="JO160" s="35"/>
      <c r="JP160" s="35"/>
      <c r="JQ160" s="35"/>
      <c r="JR160" s="35"/>
      <c r="JS160" s="35"/>
      <c r="JT160" s="35"/>
      <c r="JU160" s="35"/>
      <c r="JV160" s="35"/>
      <c r="JW160" s="35"/>
      <c r="JX160" s="35"/>
      <c r="JY160" s="35"/>
    </row>
    <row r="161">
      <c r="A161" s="28" t="s">
        <v>371</v>
      </c>
      <c r="B161" s="30"/>
      <c r="C161" s="78"/>
      <c r="D161" s="30"/>
      <c r="E161" s="31"/>
      <c r="F161" s="32"/>
      <c r="G161" s="32"/>
      <c r="H161" s="33"/>
      <c r="I161" s="72"/>
      <c r="J161" s="32"/>
      <c r="K161" s="33"/>
      <c r="L161" s="36" t="b">
        <v>0</v>
      </c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  <c r="FN161" s="35"/>
      <c r="FO161" s="35"/>
      <c r="FP161" s="35"/>
      <c r="FQ161" s="35"/>
      <c r="FR161" s="35"/>
      <c r="FS161" s="35"/>
      <c r="FT161" s="35"/>
      <c r="FU161" s="35"/>
      <c r="FV161" s="35"/>
      <c r="FW161" s="35"/>
      <c r="FX161" s="35"/>
      <c r="FY161" s="35"/>
      <c r="FZ161" s="35"/>
      <c r="GA161" s="35"/>
      <c r="GB161" s="35"/>
      <c r="GC161" s="35"/>
      <c r="GD161" s="35"/>
      <c r="GE161" s="35"/>
      <c r="GF161" s="35"/>
      <c r="GG161" s="35"/>
      <c r="GH161" s="35"/>
      <c r="GI161" s="35"/>
      <c r="GJ161" s="35"/>
      <c r="GK161" s="35"/>
      <c r="GL161" s="35"/>
      <c r="GM161" s="35"/>
      <c r="GN161" s="35"/>
      <c r="GO161" s="35"/>
      <c r="GP161" s="35"/>
      <c r="GQ161" s="35"/>
      <c r="GR161" s="35"/>
      <c r="GS161" s="35"/>
      <c r="GT161" s="35"/>
      <c r="GU161" s="35"/>
      <c r="GV161" s="35"/>
      <c r="GW161" s="35"/>
      <c r="GX161" s="35"/>
      <c r="GY161" s="35"/>
      <c r="GZ161" s="35"/>
      <c r="HA161" s="35"/>
      <c r="HB161" s="35"/>
      <c r="HC161" s="35"/>
      <c r="HD161" s="35"/>
      <c r="HE161" s="35"/>
      <c r="HF161" s="35"/>
      <c r="HG161" s="35"/>
      <c r="HH161" s="35"/>
      <c r="HI161" s="35"/>
      <c r="HJ161" s="35"/>
      <c r="HK161" s="35"/>
      <c r="HL161" s="35"/>
      <c r="HM161" s="35"/>
      <c r="HN161" s="35"/>
      <c r="HO161" s="35"/>
      <c r="HP161" s="35"/>
      <c r="HQ161" s="35"/>
      <c r="HR161" s="35"/>
      <c r="HS161" s="35"/>
      <c r="HT161" s="35"/>
      <c r="HU161" s="35"/>
      <c r="HV161" s="35"/>
      <c r="HW161" s="35"/>
      <c r="HX161" s="35"/>
      <c r="HY161" s="35"/>
      <c r="HZ161" s="35"/>
      <c r="IA161" s="35"/>
      <c r="IB161" s="35"/>
      <c r="IC161" s="35"/>
      <c r="ID161" s="35"/>
      <c r="IE161" s="35"/>
      <c r="IF161" s="35"/>
      <c r="IG161" s="35"/>
      <c r="IH161" s="35"/>
      <c r="II161" s="35"/>
      <c r="IJ161" s="35"/>
      <c r="IK161" s="35"/>
      <c r="IL161" s="35"/>
      <c r="IM161" s="35"/>
      <c r="IN161" s="35"/>
      <c r="IO161" s="35"/>
      <c r="IP161" s="35"/>
      <c r="IQ161" s="35"/>
      <c r="IR161" s="35"/>
      <c r="IS161" s="35"/>
      <c r="IT161" s="35"/>
      <c r="IU161" s="35"/>
      <c r="IV161" s="35"/>
      <c r="IW161" s="35"/>
      <c r="IX161" s="35"/>
      <c r="IY161" s="35"/>
      <c r="IZ161" s="35"/>
      <c r="JA161" s="35"/>
      <c r="JB161" s="35"/>
      <c r="JC161" s="35"/>
      <c r="JD161" s="35"/>
      <c r="JE161" s="35"/>
      <c r="JF161" s="35"/>
      <c r="JG161" s="35"/>
      <c r="JH161" s="35"/>
      <c r="JI161" s="35"/>
      <c r="JJ161" s="35"/>
      <c r="JK161" s="35"/>
      <c r="JL161" s="35"/>
      <c r="JM161" s="35"/>
      <c r="JN161" s="35"/>
      <c r="JO161" s="35"/>
      <c r="JP161" s="35"/>
      <c r="JQ161" s="35"/>
      <c r="JR161" s="35"/>
      <c r="JS161" s="35"/>
      <c r="JT161" s="35"/>
      <c r="JU161" s="35"/>
      <c r="JV161" s="35"/>
      <c r="JW161" s="35"/>
      <c r="JX161" s="35"/>
      <c r="JY161" s="35"/>
    </row>
    <row r="162">
      <c r="A162" s="28" t="s">
        <v>372</v>
      </c>
      <c r="B162" s="30"/>
      <c r="C162" s="78"/>
      <c r="D162" s="30"/>
      <c r="E162" s="31"/>
      <c r="F162" s="32"/>
      <c r="G162" s="32"/>
      <c r="H162" s="33"/>
      <c r="I162" s="72"/>
      <c r="J162" s="32"/>
      <c r="K162" s="33"/>
      <c r="L162" s="36" t="b">
        <v>0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  <c r="FN162" s="35"/>
      <c r="FO162" s="35"/>
      <c r="FP162" s="35"/>
      <c r="FQ162" s="35"/>
      <c r="FR162" s="35"/>
      <c r="FS162" s="35"/>
      <c r="FT162" s="35"/>
      <c r="FU162" s="35"/>
      <c r="FV162" s="35"/>
      <c r="FW162" s="35"/>
      <c r="FX162" s="35"/>
      <c r="FY162" s="35"/>
      <c r="FZ162" s="35"/>
      <c r="GA162" s="35"/>
      <c r="GB162" s="35"/>
      <c r="GC162" s="35"/>
      <c r="GD162" s="35"/>
      <c r="GE162" s="35"/>
      <c r="GF162" s="35"/>
      <c r="GG162" s="35"/>
      <c r="GH162" s="35"/>
      <c r="GI162" s="35"/>
      <c r="GJ162" s="35"/>
      <c r="GK162" s="35"/>
      <c r="GL162" s="35"/>
      <c r="GM162" s="35"/>
      <c r="GN162" s="35"/>
      <c r="GO162" s="35"/>
      <c r="GP162" s="35"/>
      <c r="GQ162" s="35"/>
      <c r="GR162" s="35"/>
      <c r="GS162" s="35"/>
      <c r="GT162" s="35"/>
      <c r="GU162" s="35"/>
      <c r="GV162" s="35"/>
      <c r="GW162" s="35"/>
      <c r="GX162" s="35"/>
      <c r="GY162" s="35"/>
      <c r="GZ162" s="35"/>
      <c r="HA162" s="35"/>
      <c r="HB162" s="35"/>
      <c r="HC162" s="35"/>
      <c r="HD162" s="35"/>
      <c r="HE162" s="35"/>
      <c r="HF162" s="35"/>
      <c r="HG162" s="35"/>
      <c r="HH162" s="35"/>
      <c r="HI162" s="35"/>
      <c r="HJ162" s="35"/>
      <c r="HK162" s="35"/>
      <c r="HL162" s="35"/>
      <c r="HM162" s="35"/>
      <c r="HN162" s="35"/>
      <c r="HO162" s="35"/>
      <c r="HP162" s="35"/>
      <c r="HQ162" s="35"/>
      <c r="HR162" s="35"/>
      <c r="HS162" s="35"/>
      <c r="HT162" s="35"/>
      <c r="HU162" s="35"/>
      <c r="HV162" s="35"/>
      <c r="HW162" s="35"/>
      <c r="HX162" s="35"/>
      <c r="HY162" s="35"/>
      <c r="HZ162" s="35"/>
      <c r="IA162" s="35"/>
      <c r="IB162" s="35"/>
      <c r="IC162" s="35"/>
      <c r="ID162" s="35"/>
      <c r="IE162" s="35"/>
      <c r="IF162" s="35"/>
      <c r="IG162" s="35"/>
      <c r="IH162" s="35"/>
      <c r="II162" s="35"/>
      <c r="IJ162" s="35"/>
      <c r="IK162" s="35"/>
      <c r="IL162" s="35"/>
      <c r="IM162" s="35"/>
      <c r="IN162" s="35"/>
      <c r="IO162" s="35"/>
      <c r="IP162" s="35"/>
      <c r="IQ162" s="35"/>
      <c r="IR162" s="35"/>
      <c r="IS162" s="35"/>
      <c r="IT162" s="35"/>
      <c r="IU162" s="35"/>
      <c r="IV162" s="35"/>
      <c r="IW162" s="35"/>
      <c r="IX162" s="35"/>
      <c r="IY162" s="35"/>
      <c r="IZ162" s="35"/>
      <c r="JA162" s="35"/>
      <c r="JB162" s="35"/>
      <c r="JC162" s="35"/>
      <c r="JD162" s="35"/>
      <c r="JE162" s="35"/>
      <c r="JF162" s="35"/>
      <c r="JG162" s="35"/>
      <c r="JH162" s="35"/>
      <c r="JI162" s="35"/>
      <c r="JJ162" s="35"/>
      <c r="JK162" s="35"/>
      <c r="JL162" s="35"/>
      <c r="JM162" s="35"/>
      <c r="JN162" s="35"/>
      <c r="JO162" s="35"/>
      <c r="JP162" s="35"/>
      <c r="JQ162" s="35"/>
      <c r="JR162" s="35"/>
      <c r="JS162" s="35"/>
      <c r="JT162" s="35"/>
      <c r="JU162" s="35"/>
      <c r="JV162" s="35"/>
      <c r="JW162" s="35"/>
      <c r="JX162" s="35"/>
      <c r="JY162" s="35"/>
    </row>
    <row r="163">
      <c r="A163" s="28" t="s">
        <v>373</v>
      </c>
      <c r="B163" s="30"/>
      <c r="C163" s="78"/>
      <c r="D163" s="30"/>
      <c r="E163" s="31"/>
      <c r="F163" s="32"/>
      <c r="G163" s="32"/>
      <c r="H163" s="33"/>
      <c r="I163" s="72"/>
      <c r="J163" s="32"/>
      <c r="K163" s="33"/>
      <c r="L163" s="36" t="b">
        <v>0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  <c r="ER163" s="35"/>
      <c r="ES163" s="35"/>
      <c r="ET163" s="35"/>
      <c r="EU163" s="35"/>
      <c r="EV163" s="35"/>
      <c r="EW163" s="35"/>
      <c r="EX163" s="35"/>
      <c r="EY163" s="35"/>
      <c r="EZ163" s="35"/>
      <c r="FA163" s="35"/>
      <c r="FB163" s="35"/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  <c r="FN163" s="35"/>
      <c r="FO163" s="35"/>
      <c r="FP163" s="35"/>
      <c r="FQ163" s="35"/>
      <c r="FR163" s="35"/>
      <c r="FS163" s="35"/>
      <c r="FT163" s="35"/>
      <c r="FU163" s="35"/>
      <c r="FV163" s="35"/>
      <c r="FW163" s="35"/>
      <c r="FX163" s="35"/>
      <c r="FY163" s="35"/>
      <c r="FZ163" s="35"/>
      <c r="GA163" s="35"/>
      <c r="GB163" s="35"/>
      <c r="GC163" s="35"/>
      <c r="GD163" s="35"/>
      <c r="GE163" s="35"/>
      <c r="GF163" s="35"/>
      <c r="GG163" s="35"/>
      <c r="GH163" s="35"/>
      <c r="GI163" s="35"/>
      <c r="GJ163" s="35"/>
      <c r="GK163" s="35"/>
      <c r="GL163" s="35"/>
      <c r="GM163" s="35"/>
      <c r="GN163" s="35"/>
      <c r="GO163" s="35"/>
      <c r="GP163" s="35"/>
      <c r="GQ163" s="35"/>
      <c r="GR163" s="35"/>
      <c r="GS163" s="35"/>
      <c r="GT163" s="35"/>
      <c r="GU163" s="35"/>
      <c r="GV163" s="35"/>
      <c r="GW163" s="35"/>
      <c r="GX163" s="35"/>
      <c r="GY163" s="35"/>
      <c r="GZ163" s="35"/>
      <c r="HA163" s="35"/>
      <c r="HB163" s="35"/>
      <c r="HC163" s="35"/>
      <c r="HD163" s="35"/>
      <c r="HE163" s="35"/>
      <c r="HF163" s="35"/>
      <c r="HG163" s="35"/>
      <c r="HH163" s="35"/>
      <c r="HI163" s="35"/>
      <c r="HJ163" s="35"/>
      <c r="HK163" s="35"/>
      <c r="HL163" s="35"/>
      <c r="HM163" s="35"/>
      <c r="HN163" s="35"/>
      <c r="HO163" s="35"/>
      <c r="HP163" s="35"/>
      <c r="HQ163" s="35"/>
      <c r="HR163" s="35"/>
      <c r="HS163" s="35"/>
      <c r="HT163" s="35"/>
      <c r="HU163" s="35"/>
      <c r="HV163" s="35"/>
      <c r="HW163" s="35"/>
      <c r="HX163" s="35"/>
      <c r="HY163" s="35"/>
      <c r="HZ163" s="35"/>
      <c r="IA163" s="35"/>
      <c r="IB163" s="35"/>
      <c r="IC163" s="35"/>
      <c r="ID163" s="35"/>
      <c r="IE163" s="35"/>
      <c r="IF163" s="35"/>
      <c r="IG163" s="35"/>
      <c r="IH163" s="35"/>
      <c r="II163" s="35"/>
      <c r="IJ163" s="35"/>
      <c r="IK163" s="35"/>
      <c r="IL163" s="35"/>
      <c r="IM163" s="35"/>
      <c r="IN163" s="35"/>
      <c r="IO163" s="35"/>
      <c r="IP163" s="35"/>
      <c r="IQ163" s="35"/>
      <c r="IR163" s="35"/>
      <c r="IS163" s="35"/>
      <c r="IT163" s="35"/>
      <c r="IU163" s="35"/>
      <c r="IV163" s="35"/>
      <c r="IW163" s="35"/>
      <c r="IX163" s="35"/>
      <c r="IY163" s="35"/>
      <c r="IZ163" s="35"/>
      <c r="JA163" s="35"/>
      <c r="JB163" s="35"/>
      <c r="JC163" s="35"/>
      <c r="JD163" s="35"/>
      <c r="JE163" s="35"/>
      <c r="JF163" s="35"/>
      <c r="JG163" s="35"/>
      <c r="JH163" s="35"/>
      <c r="JI163" s="35"/>
      <c r="JJ163" s="35"/>
      <c r="JK163" s="35"/>
      <c r="JL163" s="35"/>
      <c r="JM163" s="35"/>
      <c r="JN163" s="35"/>
      <c r="JO163" s="35"/>
      <c r="JP163" s="35"/>
      <c r="JQ163" s="35"/>
      <c r="JR163" s="35"/>
      <c r="JS163" s="35"/>
      <c r="JT163" s="35"/>
      <c r="JU163" s="35"/>
      <c r="JV163" s="35"/>
      <c r="JW163" s="35"/>
      <c r="JX163" s="35"/>
      <c r="JY163" s="35"/>
    </row>
    <row r="164">
      <c r="A164" s="28" t="s">
        <v>374</v>
      </c>
      <c r="B164" s="30"/>
      <c r="C164" s="78"/>
      <c r="D164" s="30"/>
      <c r="E164" s="31"/>
      <c r="F164" s="32"/>
      <c r="G164" s="32"/>
      <c r="H164" s="33"/>
      <c r="I164" s="72"/>
      <c r="J164" s="32"/>
      <c r="K164" s="33"/>
      <c r="L164" s="36" t="b">
        <v>0</v>
      </c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  <c r="FN164" s="35"/>
      <c r="FO164" s="35"/>
      <c r="FP164" s="35"/>
      <c r="FQ164" s="35"/>
      <c r="FR164" s="35"/>
      <c r="FS164" s="35"/>
      <c r="FT164" s="35"/>
      <c r="FU164" s="35"/>
      <c r="FV164" s="35"/>
      <c r="FW164" s="35"/>
      <c r="FX164" s="35"/>
      <c r="FY164" s="35"/>
      <c r="FZ164" s="35"/>
      <c r="GA164" s="35"/>
      <c r="GB164" s="35"/>
      <c r="GC164" s="35"/>
      <c r="GD164" s="35"/>
      <c r="GE164" s="35"/>
      <c r="GF164" s="35"/>
      <c r="GG164" s="35"/>
      <c r="GH164" s="35"/>
      <c r="GI164" s="35"/>
      <c r="GJ164" s="35"/>
      <c r="GK164" s="35"/>
      <c r="GL164" s="35"/>
      <c r="GM164" s="35"/>
      <c r="GN164" s="35"/>
      <c r="GO164" s="35"/>
      <c r="GP164" s="35"/>
      <c r="GQ164" s="35"/>
      <c r="GR164" s="35"/>
      <c r="GS164" s="35"/>
      <c r="GT164" s="35"/>
      <c r="GU164" s="35"/>
      <c r="GV164" s="35"/>
      <c r="GW164" s="35"/>
      <c r="GX164" s="35"/>
      <c r="GY164" s="35"/>
      <c r="GZ164" s="35"/>
      <c r="HA164" s="35"/>
      <c r="HB164" s="35"/>
      <c r="HC164" s="35"/>
      <c r="HD164" s="35"/>
      <c r="HE164" s="35"/>
      <c r="HF164" s="35"/>
      <c r="HG164" s="35"/>
      <c r="HH164" s="35"/>
      <c r="HI164" s="35"/>
      <c r="HJ164" s="35"/>
      <c r="HK164" s="35"/>
      <c r="HL164" s="35"/>
      <c r="HM164" s="35"/>
      <c r="HN164" s="35"/>
      <c r="HO164" s="35"/>
      <c r="HP164" s="35"/>
      <c r="HQ164" s="35"/>
      <c r="HR164" s="35"/>
      <c r="HS164" s="35"/>
      <c r="HT164" s="35"/>
      <c r="HU164" s="35"/>
      <c r="HV164" s="35"/>
      <c r="HW164" s="35"/>
      <c r="HX164" s="35"/>
      <c r="HY164" s="35"/>
      <c r="HZ164" s="35"/>
      <c r="IA164" s="35"/>
      <c r="IB164" s="35"/>
      <c r="IC164" s="35"/>
      <c r="ID164" s="35"/>
      <c r="IE164" s="35"/>
      <c r="IF164" s="35"/>
      <c r="IG164" s="35"/>
      <c r="IH164" s="35"/>
      <c r="II164" s="35"/>
      <c r="IJ164" s="35"/>
      <c r="IK164" s="35"/>
      <c r="IL164" s="35"/>
      <c r="IM164" s="35"/>
      <c r="IN164" s="35"/>
      <c r="IO164" s="35"/>
      <c r="IP164" s="35"/>
      <c r="IQ164" s="35"/>
      <c r="IR164" s="35"/>
      <c r="IS164" s="35"/>
      <c r="IT164" s="35"/>
      <c r="IU164" s="35"/>
      <c r="IV164" s="35"/>
      <c r="IW164" s="35"/>
      <c r="IX164" s="35"/>
      <c r="IY164" s="35"/>
      <c r="IZ164" s="35"/>
      <c r="JA164" s="35"/>
      <c r="JB164" s="35"/>
      <c r="JC164" s="35"/>
      <c r="JD164" s="35"/>
      <c r="JE164" s="35"/>
      <c r="JF164" s="35"/>
      <c r="JG164" s="35"/>
      <c r="JH164" s="35"/>
      <c r="JI164" s="35"/>
      <c r="JJ164" s="35"/>
      <c r="JK164" s="35"/>
      <c r="JL164" s="35"/>
      <c r="JM164" s="35"/>
      <c r="JN164" s="35"/>
      <c r="JO164" s="35"/>
      <c r="JP164" s="35"/>
      <c r="JQ164" s="35"/>
      <c r="JR164" s="35"/>
      <c r="JS164" s="35"/>
      <c r="JT164" s="35"/>
      <c r="JU164" s="35"/>
      <c r="JV164" s="35"/>
      <c r="JW164" s="35"/>
      <c r="JX164" s="35"/>
      <c r="JY164" s="35"/>
    </row>
    <row r="165">
      <c r="A165" s="28" t="s">
        <v>375</v>
      </c>
      <c r="B165" s="30"/>
      <c r="C165" s="78"/>
      <c r="D165" s="30"/>
      <c r="E165" s="31"/>
      <c r="F165" s="32"/>
      <c r="G165" s="32"/>
      <c r="H165" s="33"/>
      <c r="I165" s="72"/>
      <c r="J165" s="32"/>
      <c r="K165" s="33"/>
      <c r="L165" s="36" t="b">
        <v>0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  <c r="ER165" s="35"/>
      <c r="ES165" s="35"/>
      <c r="ET165" s="35"/>
      <c r="EU165" s="35"/>
      <c r="EV165" s="35"/>
      <c r="EW165" s="35"/>
      <c r="EX165" s="35"/>
      <c r="EY165" s="35"/>
      <c r="EZ165" s="35"/>
      <c r="FA165" s="35"/>
      <c r="FB165" s="35"/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  <c r="FN165" s="35"/>
      <c r="FO165" s="35"/>
      <c r="FP165" s="35"/>
      <c r="FQ165" s="35"/>
      <c r="FR165" s="35"/>
      <c r="FS165" s="35"/>
      <c r="FT165" s="35"/>
      <c r="FU165" s="35"/>
      <c r="FV165" s="35"/>
      <c r="FW165" s="35"/>
      <c r="FX165" s="35"/>
      <c r="FY165" s="35"/>
      <c r="FZ165" s="35"/>
      <c r="GA165" s="35"/>
      <c r="GB165" s="35"/>
      <c r="GC165" s="35"/>
      <c r="GD165" s="35"/>
      <c r="GE165" s="35"/>
      <c r="GF165" s="35"/>
      <c r="GG165" s="35"/>
      <c r="GH165" s="35"/>
      <c r="GI165" s="35"/>
      <c r="GJ165" s="35"/>
      <c r="GK165" s="35"/>
      <c r="GL165" s="35"/>
      <c r="GM165" s="35"/>
      <c r="GN165" s="35"/>
      <c r="GO165" s="35"/>
      <c r="GP165" s="35"/>
      <c r="GQ165" s="35"/>
      <c r="GR165" s="35"/>
      <c r="GS165" s="35"/>
      <c r="GT165" s="35"/>
      <c r="GU165" s="35"/>
      <c r="GV165" s="35"/>
      <c r="GW165" s="35"/>
      <c r="GX165" s="35"/>
      <c r="GY165" s="35"/>
      <c r="GZ165" s="35"/>
      <c r="HA165" s="35"/>
      <c r="HB165" s="35"/>
      <c r="HC165" s="35"/>
      <c r="HD165" s="35"/>
      <c r="HE165" s="35"/>
      <c r="HF165" s="35"/>
      <c r="HG165" s="35"/>
      <c r="HH165" s="35"/>
      <c r="HI165" s="35"/>
      <c r="HJ165" s="35"/>
      <c r="HK165" s="35"/>
      <c r="HL165" s="35"/>
      <c r="HM165" s="35"/>
      <c r="HN165" s="35"/>
      <c r="HO165" s="35"/>
      <c r="HP165" s="35"/>
      <c r="HQ165" s="35"/>
      <c r="HR165" s="35"/>
      <c r="HS165" s="35"/>
      <c r="HT165" s="35"/>
      <c r="HU165" s="35"/>
      <c r="HV165" s="35"/>
      <c r="HW165" s="35"/>
      <c r="HX165" s="35"/>
      <c r="HY165" s="35"/>
      <c r="HZ165" s="35"/>
      <c r="IA165" s="35"/>
      <c r="IB165" s="35"/>
      <c r="IC165" s="35"/>
      <c r="ID165" s="35"/>
      <c r="IE165" s="35"/>
      <c r="IF165" s="35"/>
      <c r="IG165" s="35"/>
      <c r="IH165" s="35"/>
      <c r="II165" s="35"/>
      <c r="IJ165" s="35"/>
      <c r="IK165" s="35"/>
      <c r="IL165" s="35"/>
      <c r="IM165" s="35"/>
      <c r="IN165" s="35"/>
      <c r="IO165" s="35"/>
      <c r="IP165" s="35"/>
      <c r="IQ165" s="35"/>
      <c r="IR165" s="35"/>
      <c r="IS165" s="35"/>
      <c r="IT165" s="35"/>
      <c r="IU165" s="35"/>
      <c r="IV165" s="35"/>
      <c r="IW165" s="35"/>
      <c r="IX165" s="35"/>
      <c r="IY165" s="35"/>
      <c r="IZ165" s="35"/>
      <c r="JA165" s="35"/>
      <c r="JB165" s="35"/>
      <c r="JC165" s="35"/>
      <c r="JD165" s="35"/>
      <c r="JE165" s="35"/>
      <c r="JF165" s="35"/>
      <c r="JG165" s="35"/>
      <c r="JH165" s="35"/>
      <c r="JI165" s="35"/>
      <c r="JJ165" s="35"/>
      <c r="JK165" s="35"/>
      <c r="JL165" s="35"/>
      <c r="JM165" s="35"/>
      <c r="JN165" s="35"/>
      <c r="JO165" s="35"/>
      <c r="JP165" s="35"/>
      <c r="JQ165" s="35"/>
      <c r="JR165" s="35"/>
      <c r="JS165" s="35"/>
      <c r="JT165" s="35"/>
      <c r="JU165" s="35"/>
      <c r="JV165" s="35"/>
      <c r="JW165" s="35"/>
      <c r="JX165" s="35"/>
      <c r="JY165" s="35"/>
    </row>
    <row r="166">
      <c r="A166" s="28" t="s">
        <v>376</v>
      </c>
      <c r="B166" s="30"/>
      <c r="C166" s="78"/>
      <c r="D166" s="30"/>
      <c r="E166" s="31"/>
      <c r="F166" s="32"/>
      <c r="G166" s="32"/>
      <c r="H166" s="33"/>
      <c r="I166" s="72"/>
      <c r="J166" s="32"/>
      <c r="K166" s="33"/>
      <c r="L166" s="36" t="b">
        <v>0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35"/>
      <c r="EY166" s="35"/>
      <c r="EZ166" s="35"/>
      <c r="FA166" s="35"/>
      <c r="FB166" s="35"/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  <c r="FN166" s="35"/>
      <c r="FO166" s="35"/>
      <c r="FP166" s="35"/>
      <c r="FQ166" s="35"/>
      <c r="FR166" s="35"/>
      <c r="FS166" s="35"/>
      <c r="FT166" s="35"/>
      <c r="FU166" s="35"/>
      <c r="FV166" s="35"/>
      <c r="FW166" s="35"/>
      <c r="FX166" s="35"/>
      <c r="FY166" s="35"/>
      <c r="FZ166" s="35"/>
      <c r="GA166" s="35"/>
      <c r="GB166" s="35"/>
      <c r="GC166" s="35"/>
      <c r="GD166" s="35"/>
      <c r="GE166" s="35"/>
      <c r="GF166" s="35"/>
      <c r="GG166" s="35"/>
      <c r="GH166" s="35"/>
      <c r="GI166" s="35"/>
      <c r="GJ166" s="35"/>
      <c r="GK166" s="35"/>
      <c r="GL166" s="35"/>
      <c r="GM166" s="35"/>
      <c r="GN166" s="35"/>
      <c r="GO166" s="35"/>
      <c r="GP166" s="35"/>
      <c r="GQ166" s="35"/>
      <c r="GR166" s="35"/>
      <c r="GS166" s="35"/>
      <c r="GT166" s="35"/>
      <c r="GU166" s="35"/>
      <c r="GV166" s="35"/>
      <c r="GW166" s="35"/>
      <c r="GX166" s="35"/>
      <c r="GY166" s="35"/>
      <c r="GZ166" s="35"/>
      <c r="HA166" s="35"/>
      <c r="HB166" s="35"/>
      <c r="HC166" s="35"/>
      <c r="HD166" s="35"/>
      <c r="HE166" s="35"/>
      <c r="HF166" s="35"/>
      <c r="HG166" s="35"/>
      <c r="HH166" s="35"/>
      <c r="HI166" s="35"/>
      <c r="HJ166" s="35"/>
      <c r="HK166" s="35"/>
      <c r="HL166" s="35"/>
      <c r="HM166" s="35"/>
      <c r="HN166" s="35"/>
      <c r="HO166" s="35"/>
      <c r="HP166" s="35"/>
      <c r="HQ166" s="35"/>
      <c r="HR166" s="35"/>
      <c r="HS166" s="35"/>
      <c r="HT166" s="35"/>
      <c r="HU166" s="35"/>
      <c r="HV166" s="35"/>
      <c r="HW166" s="35"/>
      <c r="HX166" s="35"/>
      <c r="HY166" s="35"/>
      <c r="HZ166" s="35"/>
      <c r="IA166" s="35"/>
      <c r="IB166" s="35"/>
      <c r="IC166" s="35"/>
      <c r="ID166" s="35"/>
      <c r="IE166" s="35"/>
      <c r="IF166" s="35"/>
      <c r="IG166" s="35"/>
      <c r="IH166" s="35"/>
      <c r="II166" s="35"/>
      <c r="IJ166" s="35"/>
      <c r="IK166" s="35"/>
      <c r="IL166" s="35"/>
      <c r="IM166" s="35"/>
      <c r="IN166" s="35"/>
      <c r="IO166" s="35"/>
      <c r="IP166" s="35"/>
      <c r="IQ166" s="35"/>
      <c r="IR166" s="35"/>
      <c r="IS166" s="35"/>
      <c r="IT166" s="35"/>
      <c r="IU166" s="35"/>
      <c r="IV166" s="35"/>
      <c r="IW166" s="35"/>
      <c r="IX166" s="35"/>
      <c r="IY166" s="35"/>
      <c r="IZ166" s="35"/>
      <c r="JA166" s="35"/>
      <c r="JB166" s="35"/>
      <c r="JC166" s="35"/>
      <c r="JD166" s="35"/>
      <c r="JE166" s="35"/>
      <c r="JF166" s="35"/>
      <c r="JG166" s="35"/>
      <c r="JH166" s="35"/>
      <c r="JI166" s="35"/>
      <c r="JJ166" s="35"/>
      <c r="JK166" s="35"/>
      <c r="JL166" s="35"/>
      <c r="JM166" s="35"/>
      <c r="JN166" s="35"/>
      <c r="JO166" s="35"/>
      <c r="JP166" s="35"/>
      <c r="JQ166" s="35"/>
      <c r="JR166" s="35"/>
      <c r="JS166" s="35"/>
      <c r="JT166" s="35"/>
      <c r="JU166" s="35"/>
      <c r="JV166" s="35"/>
      <c r="JW166" s="35"/>
      <c r="JX166" s="35"/>
      <c r="JY166" s="35"/>
    </row>
    <row r="167">
      <c r="A167" s="28" t="s">
        <v>377</v>
      </c>
      <c r="B167" s="30"/>
      <c r="C167" s="78"/>
      <c r="D167" s="30"/>
      <c r="E167" s="31"/>
      <c r="F167" s="32"/>
      <c r="G167" s="32"/>
      <c r="H167" s="33"/>
      <c r="I167" s="72"/>
      <c r="J167" s="32"/>
      <c r="K167" s="33"/>
      <c r="L167" s="36" t="b">
        <v>0</v>
      </c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  <c r="ER167" s="35"/>
      <c r="ES167" s="35"/>
      <c r="ET167" s="35"/>
      <c r="EU167" s="35"/>
      <c r="EV167" s="35"/>
      <c r="EW167" s="35"/>
      <c r="EX167" s="35"/>
      <c r="EY167" s="35"/>
      <c r="EZ167" s="35"/>
      <c r="FA167" s="35"/>
      <c r="FB167" s="35"/>
      <c r="FC167" s="35"/>
      <c r="FD167" s="35"/>
      <c r="FE167" s="35"/>
      <c r="FF167" s="35"/>
      <c r="FG167" s="35"/>
      <c r="FH167" s="35"/>
      <c r="FI167" s="35"/>
      <c r="FJ167" s="35"/>
      <c r="FK167" s="35"/>
      <c r="FL167" s="35"/>
      <c r="FM167" s="35"/>
      <c r="FN167" s="35"/>
      <c r="FO167" s="35"/>
      <c r="FP167" s="35"/>
      <c r="FQ167" s="35"/>
      <c r="FR167" s="35"/>
      <c r="FS167" s="35"/>
      <c r="FT167" s="35"/>
      <c r="FU167" s="35"/>
      <c r="FV167" s="35"/>
      <c r="FW167" s="35"/>
      <c r="FX167" s="35"/>
      <c r="FY167" s="35"/>
      <c r="FZ167" s="35"/>
      <c r="GA167" s="35"/>
      <c r="GB167" s="35"/>
      <c r="GC167" s="35"/>
      <c r="GD167" s="35"/>
      <c r="GE167" s="35"/>
      <c r="GF167" s="35"/>
      <c r="GG167" s="35"/>
      <c r="GH167" s="35"/>
      <c r="GI167" s="35"/>
      <c r="GJ167" s="35"/>
      <c r="GK167" s="35"/>
      <c r="GL167" s="35"/>
      <c r="GM167" s="35"/>
      <c r="GN167" s="35"/>
      <c r="GO167" s="35"/>
      <c r="GP167" s="35"/>
      <c r="GQ167" s="35"/>
      <c r="GR167" s="35"/>
      <c r="GS167" s="35"/>
      <c r="GT167" s="35"/>
      <c r="GU167" s="35"/>
      <c r="GV167" s="35"/>
      <c r="GW167" s="35"/>
      <c r="GX167" s="35"/>
      <c r="GY167" s="35"/>
      <c r="GZ167" s="35"/>
      <c r="HA167" s="35"/>
      <c r="HB167" s="35"/>
      <c r="HC167" s="35"/>
      <c r="HD167" s="35"/>
      <c r="HE167" s="35"/>
      <c r="HF167" s="35"/>
      <c r="HG167" s="35"/>
      <c r="HH167" s="35"/>
      <c r="HI167" s="35"/>
      <c r="HJ167" s="35"/>
      <c r="HK167" s="35"/>
      <c r="HL167" s="35"/>
      <c r="HM167" s="35"/>
      <c r="HN167" s="35"/>
      <c r="HO167" s="35"/>
      <c r="HP167" s="35"/>
      <c r="HQ167" s="35"/>
      <c r="HR167" s="35"/>
      <c r="HS167" s="35"/>
      <c r="HT167" s="35"/>
      <c r="HU167" s="35"/>
      <c r="HV167" s="35"/>
      <c r="HW167" s="35"/>
      <c r="HX167" s="35"/>
      <c r="HY167" s="35"/>
      <c r="HZ167" s="35"/>
      <c r="IA167" s="35"/>
      <c r="IB167" s="35"/>
      <c r="IC167" s="35"/>
      <c r="ID167" s="35"/>
      <c r="IE167" s="35"/>
      <c r="IF167" s="35"/>
      <c r="IG167" s="35"/>
      <c r="IH167" s="35"/>
      <c r="II167" s="35"/>
      <c r="IJ167" s="35"/>
      <c r="IK167" s="35"/>
      <c r="IL167" s="35"/>
      <c r="IM167" s="35"/>
      <c r="IN167" s="35"/>
      <c r="IO167" s="35"/>
      <c r="IP167" s="35"/>
      <c r="IQ167" s="35"/>
      <c r="IR167" s="35"/>
      <c r="IS167" s="35"/>
      <c r="IT167" s="35"/>
      <c r="IU167" s="35"/>
      <c r="IV167" s="35"/>
      <c r="IW167" s="35"/>
      <c r="IX167" s="35"/>
      <c r="IY167" s="35"/>
      <c r="IZ167" s="35"/>
      <c r="JA167" s="35"/>
      <c r="JB167" s="35"/>
      <c r="JC167" s="35"/>
      <c r="JD167" s="35"/>
      <c r="JE167" s="35"/>
      <c r="JF167" s="35"/>
      <c r="JG167" s="35"/>
      <c r="JH167" s="35"/>
      <c r="JI167" s="35"/>
      <c r="JJ167" s="35"/>
      <c r="JK167" s="35"/>
      <c r="JL167" s="35"/>
      <c r="JM167" s="35"/>
      <c r="JN167" s="35"/>
      <c r="JO167" s="35"/>
      <c r="JP167" s="35"/>
      <c r="JQ167" s="35"/>
      <c r="JR167" s="35"/>
      <c r="JS167" s="35"/>
      <c r="JT167" s="35"/>
      <c r="JU167" s="35"/>
      <c r="JV167" s="35"/>
      <c r="JW167" s="35"/>
      <c r="JX167" s="35"/>
      <c r="JY167" s="35"/>
    </row>
    <row r="168">
      <c r="A168" s="28" t="s">
        <v>378</v>
      </c>
      <c r="B168" s="30"/>
      <c r="C168" s="78"/>
      <c r="D168" s="30"/>
      <c r="E168" s="31"/>
      <c r="F168" s="32"/>
      <c r="G168" s="32"/>
      <c r="H168" s="33"/>
      <c r="I168" s="72"/>
      <c r="J168" s="32"/>
      <c r="K168" s="33"/>
      <c r="L168" s="36" t="b">
        <v>0</v>
      </c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35"/>
      <c r="EY168" s="35"/>
      <c r="EZ168" s="35"/>
      <c r="FA168" s="35"/>
      <c r="FB168" s="35"/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  <c r="FN168" s="35"/>
      <c r="FO168" s="35"/>
      <c r="FP168" s="35"/>
      <c r="FQ168" s="35"/>
      <c r="FR168" s="35"/>
      <c r="FS168" s="35"/>
      <c r="FT168" s="35"/>
      <c r="FU168" s="35"/>
      <c r="FV168" s="35"/>
      <c r="FW168" s="35"/>
      <c r="FX168" s="35"/>
      <c r="FY168" s="35"/>
      <c r="FZ168" s="35"/>
      <c r="GA168" s="35"/>
      <c r="GB168" s="35"/>
      <c r="GC168" s="35"/>
      <c r="GD168" s="35"/>
      <c r="GE168" s="35"/>
      <c r="GF168" s="35"/>
      <c r="GG168" s="35"/>
      <c r="GH168" s="35"/>
      <c r="GI168" s="35"/>
      <c r="GJ168" s="35"/>
      <c r="GK168" s="35"/>
      <c r="GL168" s="35"/>
      <c r="GM168" s="35"/>
      <c r="GN168" s="35"/>
      <c r="GO168" s="35"/>
      <c r="GP168" s="35"/>
      <c r="GQ168" s="35"/>
      <c r="GR168" s="35"/>
      <c r="GS168" s="35"/>
      <c r="GT168" s="35"/>
      <c r="GU168" s="35"/>
      <c r="GV168" s="35"/>
      <c r="GW168" s="35"/>
      <c r="GX168" s="35"/>
      <c r="GY168" s="35"/>
      <c r="GZ168" s="35"/>
      <c r="HA168" s="35"/>
      <c r="HB168" s="35"/>
      <c r="HC168" s="35"/>
      <c r="HD168" s="35"/>
      <c r="HE168" s="35"/>
      <c r="HF168" s="35"/>
      <c r="HG168" s="35"/>
      <c r="HH168" s="35"/>
      <c r="HI168" s="35"/>
      <c r="HJ168" s="35"/>
      <c r="HK168" s="35"/>
      <c r="HL168" s="35"/>
      <c r="HM168" s="35"/>
      <c r="HN168" s="35"/>
      <c r="HO168" s="35"/>
      <c r="HP168" s="35"/>
      <c r="HQ168" s="35"/>
      <c r="HR168" s="35"/>
      <c r="HS168" s="35"/>
      <c r="HT168" s="35"/>
      <c r="HU168" s="35"/>
      <c r="HV168" s="35"/>
      <c r="HW168" s="35"/>
      <c r="HX168" s="35"/>
      <c r="HY168" s="35"/>
      <c r="HZ168" s="35"/>
      <c r="IA168" s="35"/>
      <c r="IB168" s="35"/>
      <c r="IC168" s="35"/>
      <c r="ID168" s="35"/>
      <c r="IE168" s="35"/>
      <c r="IF168" s="35"/>
      <c r="IG168" s="35"/>
      <c r="IH168" s="35"/>
      <c r="II168" s="35"/>
      <c r="IJ168" s="35"/>
      <c r="IK168" s="35"/>
      <c r="IL168" s="35"/>
      <c r="IM168" s="35"/>
      <c r="IN168" s="35"/>
      <c r="IO168" s="35"/>
      <c r="IP168" s="35"/>
      <c r="IQ168" s="35"/>
      <c r="IR168" s="35"/>
      <c r="IS168" s="35"/>
      <c r="IT168" s="35"/>
      <c r="IU168" s="35"/>
      <c r="IV168" s="35"/>
      <c r="IW168" s="35"/>
      <c r="IX168" s="35"/>
      <c r="IY168" s="35"/>
      <c r="IZ168" s="35"/>
      <c r="JA168" s="35"/>
      <c r="JB168" s="35"/>
      <c r="JC168" s="35"/>
      <c r="JD168" s="35"/>
      <c r="JE168" s="35"/>
      <c r="JF168" s="35"/>
      <c r="JG168" s="35"/>
      <c r="JH168" s="35"/>
      <c r="JI168" s="35"/>
      <c r="JJ168" s="35"/>
      <c r="JK168" s="35"/>
      <c r="JL168" s="35"/>
      <c r="JM168" s="35"/>
      <c r="JN168" s="35"/>
      <c r="JO168" s="35"/>
      <c r="JP168" s="35"/>
      <c r="JQ168" s="35"/>
      <c r="JR168" s="35"/>
      <c r="JS168" s="35"/>
      <c r="JT168" s="35"/>
      <c r="JU168" s="35"/>
      <c r="JV168" s="35"/>
      <c r="JW168" s="35"/>
      <c r="JX168" s="35"/>
      <c r="JY168" s="35"/>
    </row>
    <row r="169">
      <c r="A169" s="28" t="s">
        <v>379</v>
      </c>
      <c r="B169" s="30"/>
      <c r="C169" s="78"/>
      <c r="D169" s="30"/>
      <c r="E169" s="31"/>
      <c r="F169" s="32"/>
      <c r="G169" s="32"/>
      <c r="H169" s="33"/>
      <c r="I169" s="72"/>
      <c r="J169" s="32"/>
      <c r="K169" s="33"/>
      <c r="L169" s="36" t="b">
        <v>0</v>
      </c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  <c r="ER169" s="35"/>
      <c r="ES169" s="35"/>
      <c r="ET169" s="35"/>
      <c r="EU169" s="35"/>
      <c r="EV169" s="35"/>
      <c r="EW169" s="35"/>
      <c r="EX169" s="35"/>
      <c r="EY169" s="35"/>
      <c r="EZ169" s="35"/>
      <c r="FA169" s="35"/>
      <c r="FB169" s="35"/>
      <c r="FC169" s="35"/>
      <c r="FD169" s="35"/>
      <c r="FE169" s="35"/>
      <c r="FF169" s="35"/>
      <c r="FG169" s="35"/>
      <c r="FH169" s="35"/>
      <c r="FI169" s="35"/>
      <c r="FJ169" s="35"/>
      <c r="FK169" s="35"/>
      <c r="FL169" s="35"/>
      <c r="FM169" s="35"/>
      <c r="FN169" s="35"/>
      <c r="FO169" s="35"/>
      <c r="FP169" s="35"/>
      <c r="FQ169" s="35"/>
      <c r="FR169" s="35"/>
      <c r="FS169" s="35"/>
      <c r="FT169" s="35"/>
      <c r="FU169" s="35"/>
      <c r="FV169" s="35"/>
      <c r="FW169" s="35"/>
      <c r="FX169" s="35"/>
      <c r="FY169" s="35"/>
      <c r="FZ169" s="35"/>
      <c r="GA169" s="35"/>
      <c r="GB169" s="35"/>
      <c r="GC169" s="35"/>
      <c r="GD169" s="35"/>
      <c r="GE169" s="35"/>
      <c r="GF169" s="35"/>
      <c r="GG169" s="35"/>
      <c r="GH169" s="35"/>
      <c r="GI169" s="35"/>
      <c r="GJ169" s="35"/>
      <c r="GK169" s="35"/>
      <c r="GL169" s="35"/>
      <c r="GM169" s="35"/>
      <c r="GN169" s="35"/>
      <c r="GO169" s="35"/>
      <c r="GP169" s="35"/>
      <c r="GQ169" s="35"/>
      <c r="GR169" s="35"/>
      <c r="GS169" s="35"/>
      <c r="GT169" s="35"/>
      <c r="GU169" s="35"/>
      <c r="GV169" s="35"/>
      <c r="GW169" s="35"/>
      <c r="GX169" s="35"/>
      <c r="GY169" s="35"/>
      <c r="GZ169" s="35"/>
      <c r="HA169" s="35"/>
      <c r="HB169" s="35"/>
      <c r="HC169" s="35"/>
      <c r="HD169" s="35"/>
      <c r="HE169" s="35"/>
      <c r="HF169" s="35"/>
      <c r="HG169" s="35"/>
      <c r="HH169" s="35"/>
      <c r="HI169" s="35"/>
      <c r="HJ169" s="35"/>
      <c r="HK169" s="35"/>
      <c r="HL169" s="35"/>
      <c r="HM169" s="35"/>
      <c r="HN169" s="35"/>
      <c r="HO169" s="35"/>
      <c r="HP169" s="35"/>
      <c r="HQ169" s="35"/>
      <c r="HR169" s="35"/>
      <c r="HS169" s="35"/>
      <c r="HT169" s="35"/>
      <c r="HU169" s="35"/>
      <c r="HV169" s="35"/>
      <c r="HW169" s="35"/>
      <c r="HX169" s="35"/>
      <c r="HY169" s="35"/>
      <c r="HZ169" s="35"/>
      <c r="IA169" s="35"/>
      <c r="IB169" s="35"/>
      <c r="IC169" s="35"/>
      <c r="ID169" s="35"/>
      <c r="IE169" s="35"/>
      <c r="IF169" s="35"/>
      <c r="IG169" s="35"/>
      <c r="IH169" s="35"/>
      <c r="II169" s="35"/>
      <c r="IJ169" s="35"/>
      <c r="IK169" s="35"/>
      <c r="IL169" s="35"/>
      <c r="IM169" s="35"/>
      <c r="IN169" s="35"/>
      <c r="IO169" s="35"/>
      <c r="IP169" s="35"/>
      <c r="IQ169" s="35"/>
      <c r="IR169" s="35"/>
      <c r="IS169" s="35"/>
      <c r="IT169" s="35"/>
      <c r="IU169" s="35"/>
      <c r="IV169" s="35"/>
      <c r="IW169" s="35"/>
      <c r="IX169" s="35"/>
      <c r="IY169" s="35"/>
      <c r="IZ169" s="35"/>
      <c r="JA169" s="35"/>
      <c r="JB169" s="35"/>
      <c r="JC169" s="35"/>
      <c r="JD169" s="35"/>
      <c r="JE169" s="35"/>
      <c r="JF169" s="35"/>
      <c r="JG169" s="35"/>
      <c r="JH169" s="35"/>
      <c r="JI169" s="35"/>
      <c r="JJ169" s="35"/>
      <c r="JK169" s="35"/>
      <c r="JL169" s="35"/>
      <c r="JM169" s="35"/>
      <c r="JN169" s="35"/>
      <c r="JO169" s="35"/>
      <c r="JP169" s="35"/>
      <c r="JQ169" s="35"/>
      <c r="JR169" s="35"/>
      <c r="JS169" s="35"/>
      <c r="JT169" s="35"/>
      <c r="JU169" s="35"/>
      <c r="JV169" s="35"/>
      <c r="JW169" s="35"/>
      <c r="JX169" s="35"/>
      <c r="JY169" s="35"/>
    </row>
    <row r="170">
      <c r="A170" s="28" t="s">
        <v>380</v>
      </c>
      <c r="B170" s="30"/>
      <c r="C170" s="78"/>
      <c r="D170" s="30"/>
      <c r="E170" s="31"/>
      <c r="F170" s="32"/>
      <c r="G170" s="32"/>
      <c r="H170" s="33"/>
      <c r="I170" s="72"/>
      <c r="J170" s="32"/>
      <c r="K170" s="33"/>
      <c r="L170" s="36" t="b">
        <v>0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5"/>
      <c r="EI170" s="35"/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5"/>
      <c r="EV170" s="35"/>
      <c r="EW170" s="35"/>
      <c r="EX170" s="35"/>
      <c r="EY170" s="35"/>
      <c r="EZ170" s="35"/>
      <c r="FA170" s="35"/>
      <c r="FB170" s="35"/>
      <c r="FC170" s="35"/>
      <c r="FD170" s="35"/>
      <c r="FE170" s="35"/>
      <c r="FF170" s="35"/>
      <c r="FG170" s="35"/>
      <c r="FH170" s="35"/>
      <c r="FI170" s="35"/>
      <c r="FJ170" s="35"/>
      <c r="FK170" s="35"/>
      <c r="FL170" s="35"/>
      <c r="FM170" s="35"/>
      <c r="FN170" s="35"/>
      <c r="FO170" s="35"/>
      <c r="FP170" s="35"/>
      <c r="FQ170" s="35"/>
      <c r="FR170" s="35"/>
      <c r="FS170" s="35"/>
      <c r="FT170" s="35"/>
      <c r="FU170" s="35"/>
      <c r="FV170" s="35"/>
      <c r="FW170" s="35"/>
      <c r="FX170" s="35"/>
      <c r="FY170" s="35"/>
      <c r="FZ170" s="35"/>
      <c r="GA170" s="35"/>
      <c r="GB170" s="35"/>
      <c r="GC170" s="35"/>
      <c r="GD170" s="35"/>
      <c r="GE170" s="35"/>
      <c r="GF170" s="35"/>
      <c r="GG170" s="35"/>
      <c r="GH170" s="35"/>
      <c r="GI170" s="35"/>
      <c r="GJ170" s="35"/>
      <c r="GK170" s="35"/>
      <c r="GL170" s="35"/>
      <c r="GM170" s="35"/>
      <c r="GN170" s="35"/>
      <c r="GO170" s="35"/>
      <c r="GP170" s="35"/>
      <c r="GQ170" s="35"/>
      <c r="GR170" s="35"/>
      <c r="GS170" s="35"/>
      <c r="GT170" s="35"/>
      <c r="GU170" s="35"/>
      <c r="GV170" s="35"/>
      <c r="GW170" s="35"/>
      <c r="GX170" s="35"/>
      <c r="GY170" s="35"/>
      <c r="GZ170" s="35"/>
      <c r="HA170" s="35"/>
      <c r="HB170" s="35"/>
      <c r="HC170" s="35"/>
      <c r="HD170" s="35"/>
      <c r="HE170" s="35"/>
      <c r="HF170" s="35"/>
      <c r="HG170" s="35"/>
      <c r="HH170" s="35"/>
      <c r="HI170" s="35"/>
      <c r="HJ170" s="35"/>
      <c r="HK170" s="35"/>
      <c r="HL170" s="35"/>
      <c r="HM170" s="35"/>
      <c r="HN170" s="35"/>
      <c r="HO170" s="35"/>
      <c r="HP170" s="35"/>
      <c r="HQ170" s="35"/>
      <c r="HR170" s="35"/>
      <c r="HS170" s="35"/>
      <c r="HT170" s="35"/>
      <c r="HU170" s="35"/>
      <c r="HV170" s="35"/>
      <c r="HW170" s="35"/>
      <c r="HX170" s="35"/>
      <c r="HY170" s="35"/>
      <c r="HZ170" s="35"/>
      <c r="IA170" s="35"/>
      <c r="IB170" s="35"/>
      <c r="IC170" s="35"/>
      <c r="ID170" s="35"/>
      <c r="IE170" s="35"/>
      <c r="IF170" s="35"/>
      <c r="IG170" s="35"/>
      <c r="IH170" s="35"/>
      <c r="II170" s="35"/>
      <c r="IJ170" s="35"/>
      <c r="IK170" s="35"/>
      <c r="IL170" s="35"/>
      <c r="IM170" s="35"/>
      <c r="IN170" s="35"/>
      <c r="IO170" s="35"/>
      <c r="IP170" s="35"/>
      <c r="IQ170" s="35"/>
      <c r="IR170" s="35"/>
      <c r="IS170" s="35"/>
      <c r="IT170" s="35"/>
      <c r="IU170" s="35"/>
      <c r="IV170" s="35"/>
      <c r="IW170" s="35"/>
      <c r="IX170" s="35"/>
      <c r="IY170" s="35"/>
      <c r="IZ170" s="35"/>
      <c r="JA170" s="35"/>
      <c r="JB170" s="35"/>
      <c r="JC170" s="35"/>
      <c r="JD170" s="35"/>
      <c r="JE170" s="35"/>
      <c r="JF170" s="35"/>
      <c r="JG170" s="35"/>
      <c r="JH170" s="35"/>
      <c r="JI170" s="35"/>
      <c r="JJ170" s="35"/>
      <c r="JK170" s="35"/>
      <c r="JL170" s="35"/>
      <c r="JM170" s="35"/>
      <c r="JN170" s="35"/>
      <c r="JO170" s="35"/>
      <c r="JP170" s="35"/>
      <c r="JQ170" s="35"/>
      <c r="JR170" s="35"/>
      <c r="JS170" s="35"/>
      <c r="JT170" s="35"/>
      <c r="JU170" s="35"/>
      <c r="JV170" s="35"/>
      <c r="JW170" s="35"/>
      <c r="JX170" s="35"/>
      <c r="JY170" s="35"/>
    </row>
    <row r="171">
      <c r="A171" s="28" t="s">
        <v>381</v>
      </c>
      <c r="B171" s="30"/>
      <c r="C171" s="78"/>
      <c r="D171" s="30"/>
      <c r="E171" s="31"/>
      <c r="F171" s="32"/>
      <c r="G171" s="32"/>
      <c r="H171" s="33"/>
      <c r="I171" s="72"/>
      <c r="J171" s="32"/>
      <c r="K171" s="33"/>
      <c r="L171" s="36" t="b">
        <v>0</v>
      </c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35"/>
      <c r="DX171" s="35"/>
      <c r="DY171" s="35"/>
      <c r="DZ171" s="35"/>
      <c r="EA171" s="35"/>
      <c r="EB171" s="35"/>
      <c r="EC171" s="35"/>
      <c r="ED171" s="35"/>
      <c r="EE171" s="35"/>
      <c r="EF171" s="35"/>
      <c r="EG171" s="35"/>
      <c r="EH171" s="35"/>
      <c r="EI171" s="35"/>
      <c r="EJ171" s="35"/>
      <c r="EK171" s="35"/>
      <c r="EL171" s="35"/>
      <c r="EM171" s="35"/>
      <c r="EN171" s="35"/>
      <c r="EO171" s="35"/>
      <c r="EP171" s="35"/>
      <c r="EQ171" s="35"/>
      <c r="ER171" s="35"/>
      <c r="ES171" s="35"/>
      <c r="ET171" s="35"/>
      <c r="EU171" s="35"/>
      <c r="EV171" s="35"/>
      <c r="EW171" s="35"/>
      <c r="EX171" s="35"/>
      <c r="EY171" s="35"/>
      <c r="EZ171" s="35"/>
      <c r="FA171" s="35"/>
      <c r="FB171" s="35"/>
      <c r="FC171" s="35"/>
      <c r="FD171" s="35"/>
      <c r="FE171" s="35"/>
      <c r="FF171" s="35"/>
      <c r="FG171" s="35"/>
      <c r="FH171" s="35"/>
      <c r="FI171" s="35"/>
      <c r="FJ171" s="35"/>
      <c r="FK171" s="35"/>
      <c r="FL171" s="35"/>
      <c r="FM171" s="35"/>
      <c r="FN171" s="35"/>
      <c r="FO171" s="35"/>
      <c r="FP171" s="35"/>
      <c r="FQ171" s="35"/>
      <c r="FR171" s="35"/>
      <c r="FS171" s="35"/>
      <c r="FT171" s="35"/>
      <c r="FU171" s="35"/>
      <c r="FV171" s="35"/>
      <c r="FW171" s="35"/>
      <c r="FX171" s="35"/>
      <c r="FY171" s="35"/>
      <c r="FZ171" s="35"/>
      <c r="GA171" s="35"/>
      <c r="GB171" s="35"/>
      <c r="GC171" s="35"/>
      <c r="GD171" s="35"/>
      <c r="GE171" s="35"/>
      <c r="GF171" s="35"/>
      <c r="GG171" s="35"/>
      <c r="GH171" s="35"/>
      <c r="GI171" s="35"/>
      <c r="GJ171" s="35"/>
      <c r="GK171" s="35"/>
      <c r="GL171" s="35"/>
      <c r="GM171" s="35"/>
      <c r="GN171" s="35"/>
      <c r="GO171" s="35"/>
      <c r="GP171" s="35"/>
      <c r="GQ171" s="35"/>
      <c r="GR171" s="35"/>
      <c r="GS171" s="35"/>
      <c r="GT171" s="35"/>
      <c r="GU171" s="35"/>
      <c r="GV171" s="35"/>
      <c r="GW171" s="35"/>
      <c r="GX171" s="35"/>
      <c r="GY171" s="35"/>
      <c r="GZ171" s="35"/>
      <c r="HA171" s="35"/>
      <c r="HB171" s="35"/>
      <c r="HC171" s="35"/>
      <c r="HD171" s="35"/>
      <c r="HE171" s="35"/>
      <c r="HF171" s="35"/>
      <c r="HG171" s="35"/>
      <c r="HH171" s="35"/>
      <c r="HI171" s="35"/>
      <c r="HJ171" s="35"/>
      <c r="HK171" s="35"/>
      <c r="HL171" s="35"/>
      <c r="HM171" s="35"/>
      <c r="HN171" s="35"/>
      <c r="HO171" s="35"/>
      <c r="HP171" s="35"/>
      <c r="HQ171" s="35"/>
      <c r="HR171" s="35"/>
      <c r="HS171" s="35"/>
      <c r="HT171" s="35"/>
      <c r="HU171" s="35"/>
      <c r="HV171" s="35"/>
      <c r="HW171" s="35"/>
      <c r="HX171" s="35"/>
      <c r="HY171" s="35"/>
      <c r="HZ171" s="35"/>
      <c r="IA171" s="35"/>
      <c r="IB171" s="35"/>
      <c r="IC171" s="35"/>
      <c r="ID171" s="35"/>
      <c r="IE171" s="35"/>
      <c r="IF171" s="35"/>
      <c r="IG171" s="35"/>
      <c r="IH171" s="35"/>
      <c r="II171" s="35"/>
      <c r="IJ171" s="35"/>
      <c r="IK171" s="35"/>
      <c r="IL171" s="35"/>
      <c r="IM171" s="35"/>
      <c r="IN171" s="35"/>
      <c r="IO171" s="35"/>
      <c r="IP171" s="35"/>
      <c r="IQ171" s="35"/>
      <c r="IR171" s="35"/>
      <c r="IS171" s="35"/>
      <c r="IT171" s="35"/>
      <c r="IU171" s="35"/>
      <c r="IV171" s="35"/>
      <c r="IW171" s="35"/>
      <c r="IX171" s="35"/>
      <c r="IY171" s="35"/>
      <c r="IZ171" s="35"/>
      <c r="JA171" s="35"/>
      <c r="JB171" s="35"/>
      <c r="JC171" s="35"/>
      <c r="JD171" s="35"/>
      <c r="JE171" s="35"/>
      <c r="JF171" s="35"/>
      <c r="JG171" s="35"/>
      <c r="JH171" s="35"/>
      <c r="JI171" s="35"/>
      <c r="JJ171" s="35"/>
      <c r="JK171" s="35"/>
      <c r="JL171" s="35"/>
      <c r="JM171" s="35"/>
      <c r="JN171" s="35"/>
      <c r="JO171" s="35"/>
      <c r="JP171" s="35"/>
      <c r="JQ171" s="35"/>
      <c r="JR171" s="35"/>
      <c r="JS171" s="35"/>
      <c r="JT171" s="35"/>
      <c r="JU171" s="35"/>
      <c r="JV171" s="35"/>
      <c r="JW171" s="35"/>
      <c r="JX171" s="35"/>
      <c r="JY171" s="35"/>
    </row>
    <row r="172">
      <c r="A172" s="28" t="s">
        <v>382</v>
      </c>
      <c r="B172" s="30"/>
      <c r="C172" s="78"/>
      <c r="D172" s="30"/>
      <c r="E172" s="31"/>
      <c r="F172" s="32"/>
      <c r="G172" s="32"/>
      <c r="H172" s="33"/>
      <c r="I172" s="72"/>
      <c r="J172" s="32"/>
      <c r="K172" s="33"/>
      <c r="L172" s="36" t="b">
        <v>0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/>
      <c r="DY172" s="35"/>
      <c r="DZ172" s="35"/>
      <c r="EA172" s="35"/>
      <c r="EB172" s="35"/>
      <c r="EC172" s="35"/>
      <c r="ED172" s="35"/>
      <c r="EE172" s="35"/>
      <c r="EF172" s="35"/>
      <c r="EG172" s="35"/>
      <c r="EH172" s="35"/>
      <c r="EI172" s="35"/>
      <c r="EJ172" s="35"/>
      <c r="EK172" s="35"/>
      <c r="EL172" s="35"/>
      <c r="EM172" s="35"/>
      <c r="EN172" s="35"/>
      <c r="EO172" s="35"/>
      <c r="EP172" s="35"/>
      <c r="EQ172" s="35"/>
      <c r="ER172" s="35"/>
      <c r="ES172" s="35"/>
      <c r="ET172" s="35"/>
      <c r="EU172" s="35"/>
      <c r="EV172" s="35"/>
      <c r="EW172" s="35"/>
      <c r="EX172" s="35"/>
      <c r="EY172" s="35"/>
      <c r="EZ172" s="35"/>
      <c r="FA172" s="35"/>
      <c r="FB172" s="35"/>
      <c r="FC172" s="35"/>
      <c r="FD172" s="35"/>
      <c r="FE172" s="35"/>
      <c r="FF172" s="35"/>
      <c r="FG172" s="35"/>
      <c r="FH172" s="35"/>
      <c r="FI172" s="35"/>
      <c r="FJ172" s="35"/>
      <c r="FK172" s="35"/>
      <c r="FL172" s="35"/>
      <c r="FM172" s="35"/>
      <c r="FN172" s="35"/>
      <c r="FO172" s="35"/>
      <c r="FP172" s="35"/>
      <c r="FQ172" s="35"/>
      <c r="FR172" s="35"/>
      <c r="FS172" s="35"/>
      <c r="FT172" s="35"/>
      <c r="FU172" s="35"/>
      <c r="FV172" s="35"/>
      <c r="FW172" s="35"/>
      <c r="FX172" s="35"/>
      <c r="FY172" s="35"/>
      <c r="FZ172" s="35"/>
      <c r="GA172" s="35"/>
      <c r="GB172" s="35"/>
      <c r="GC172" s="35"/>
      <c r="GD172" s="35"/>
      <c r="GE172" s="35"/>
      <c r="GF172" s="35"/>
      <c r="GG172" s="35"/>
      <c r="GH172" s="35"/>
      <c r="GI172" s="35"/>
      <c r="GJ172" s="35"/>
      <c r="GK172" s="35"/>
      <c r="GL172" s="35"/>
      <c r="GM172" s="35"/>
      <c r="GN172" s="35"/>
      <c r="GO172" s="35"/>
      <c r="GP172" s="35"/>
      <c r="GQ172" s="35"/>
      <c r="GR172" s="35"/>
      <c r="GS172" s="35"/>
      <c r="GT172" s="35"/>
      <c r="GU172" s="35"/>
      <c r="GV172" s="35"/>
      <c r="GW172" s="35"/>
      <c r="GX172" s="35"/>
      <c r="GY172" s="35"/>
      <c r="GZ172" s="35"/>
      <c r="HA172" s="35"/>
      <c r="HB172" s="35"/>
      <c r="HC172" s="35"/>
      <c r="HD172" s="35"/>
      <c r="HE172" s="35"/>
      <c r="HF172" s="35"/>
      <c r="HG172" s="35"/>
      <c r="HH172" s="35"/>
      <c r="HI172" s="35"/>
      <c r="HJ172" s="35"/>
      <c r="HK172" s="35"/>
      <c r="HL172" s="35"/>
      <c r="HM172" s="35"/>
      <c r="HN172" s="35"/>
      <c r="HO172" s="35"/>
      <c r="HP172" s="35"/>
      <c r="HQ172" s="35"/>
      <c r="HR172" s="35"/>
      <c r="HS172" s="35"/>
      <c r="HT172" s="35"/>
      <c r="HU172" s="35"/>
      <c r="HV172" s="35"/>
      <c r="HW172" s="35"/>
      <c r="HX172" s="35"/>
      <c r="HY172" s="35"/>
      <c r="HZ172" s="35"/>
      <c r="IA172" s="35"/>
      <c r="IB172" s="35"/>
      <c r="IC172" s="35"/>
      <c r="ID172" s="35"/>
      <c r="IE172" s="35"/>
      <c r="IF172" s="35"/>
      <c r="IG172" s="35"/>
      <c r="IH172" s="35"/>
      <c r="II172" s="35"/>
      <c r="IJ172" s="35"/>
      <c r="IK172" s="35"/>
      <c r="IL172" s="35"/>
      <c r="IM172" s="35"/>
      <c r="IN172" s="35"/>
      <c r="IO172" s="35"/>
      <c r="IP172" s="35"/>
      <c r="IQ172" s="35"/>
      <c r="IR172" s="35"/>
      <c r="IS172" s="35"/>
      <c r="IT172" s="35"/>
      <c r="IU172" s="35"/>
      <c r="IV172" s="35"/>
      <c r="IW172" s="35"/>
      <c r="IX172" s="35"/>
      <c r="IY172" s="35"/>
      <c r="IZ172" s="35"/>
      <c r="JA172" s="35"/>
      <c r="JB172" s="35"/>
      <c r="JC172" s="35"/>
      <c r="JD172" s="35"/>
      <c r="JE172" s="35"/>
      <c r="JF172" s="35"/>
      <c r="JG172" s="35"/>
      <c r="JH172" s="35"/>
      <c r="JI172" s="35"/>
      <c r="JJ172" s="35"/>
      <c r="JK172" s="35"/>
      <c r="JL172" s="35"/>
      <c r="JM172" s="35"/>
      <c r="JN172" s="35"/>
      <c r="JO172" s="35"/>
      <c r="JP172" s="35"/>
      <c r="JQ172" s="35"/>
      <c r="JR172" s="35"/>
      <c r="JS172" s="35"/>
      <c r="JT172" s="35"/>
      <c r="JU172" s="35"/>
      <c r="JV172" s="35"/>
      <c r="JW172" s="35"/>
      <c r="JX172" s="35"/>
      <c r="JY172" s="35"/>
    </row>
    <row r="173">
      <c r="A173" s="28" t="s">
        <v>383</v>
      </c>
      <c r="B173" s="30"/>
      <c r="C173" s="78"/>
      <c r="D173" s="30"/>
      <c r="E173" s="31"/>
      <c r="F173" s="32"/>
      <c r="G173" s="32"/>
      <c r="H173" s="33"/>
      <c r="I173" s="72"/>
      <c r="J173" s="32"/>
      <c r="K173" s="33"/>
      <c r="L173" s="36" t="b">
        <v>0</v>
      </c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35"/>
      <c r="DX173" s="35"/>
      <c r="DY173" s="35"/>
      <c r="DZ173" s="35"/>
      <c r="EA173" s="35"/>
      <c r="EB173" s="35"/>
      <c r="EC173" s="35"/>
      <c r="ED173" s="35"/>
      <c r="EE173" s="35"/>
      <c r="EF173" s="35"/>
      <c r="EG173" s="35"/>
      <c r="EH173" s="35"/>
      <c r="EI173" s="35"/>
      <c r="EJ173" s="35"/>
      <c r="EK173" s="35"/>
      <c r="EL173" s="35"/>
      <c r="EM173" s="35"/>
      <c r="EN173" s="35"/>
      <c r="EO173" s="35"/>
      <c r="EP173" s="35"/>
      <c r="EQ173" s="35"/>
      <c r="ER173" s="35"/>
      <c r="ES173" s="35"/>
      <c r="ET173" s="35"/>
      <c r="EU173" s="35"/>
      <c r="EV173" s="35"/>
      <c r="EW173" s="35"/>
      <c r="EX173" s="35"/>
      <c r="EY173" s="35"/>
      <c r="EZ173" s="35"/>
      <c r="FA173" s="35"/>
      <c r="FB173" s="35"/>
      <c r="FC173" s="35"/>
      <c r="FD173" s="35"/>
      <c r="FE173" s="35"/>
      <c r="FF173" s="35"/>
      <c r="FG173" s="35"/>
      <c r="FH173" s="35"/>
      <c r="FI173" s="35"/>
      <c r="FJ173" s="35"/>
      <c r="FK173" s="35"/>
      <c r="FL173" s="35"/>
      <c r="FM173" s="35"/>
      <c r="FN173" s="35"/>
      <c r="FO173" s="35"/>
      <c r="FP173" s="35"/>
      <c r="FQ173" s="35"/>
      <c r="FR173" s="35"/>
      <c r="FS173" s="35"/>
      <c r="FT173" s="35"/>
      <c r="FU173" s="35"/>
      <c r="FV173" s="35"/>
      <c r="FW173" s="35"/>
      <c r="FX173" s="35"/>
      <c r="FY173" s="35"/>
      <c r="FZ173" s="35"/>
      <c r="GA173" s="35"/>
      <c r="GB173" s="35"/>
      <c r="GC173" s="35"/>
      <c r="GD173" s="35"/>
      <c r="GE173" s="35"/>
      <c r="GF173" s="35"/>
      <c r="GG173" s="35"/>
      <c r="GH173" s="35"/>
      <c r="GI173" s="35"/>
      <c r="GJ173" s="35"/>
      <c r="GK173" s="35"/>
      <c r="GL173" s="35"/>
      <c r="GM173" s="35"/>
      <c r="GN173" s="35"/>
      <c r="GO173" s="35"/>
      <c r="GP173" s="35"/>
      <c r="GQ173" s="35"/>
      <c r="GR173" s="35"/>
      <c r="GS173" s="35"/>
      <c r="GT173" s="35"/>
      <c r="GU173" s="35"/>
      <c r="GV173" s="35"/>
      <c r="GW173" s="35"/>
      <c r="GX173" s="35"/>
      <c r="GY173" s="35"/>
      <c r="GZ173" s="35"/>
      <c r="HA173" s="35"/>
      <c r="HB173" s="35"/>
      <c r="HC173" s="35"/>
      <c r="HD173" s="35"/>
      <c r="HE173" s="35"/>
      <c r="HF173" s="35"/>
      <c r="HG173" s="35"/>
      <c r="HH173" s="35"/>
      <c r="HI173" s="35"/>
      <c r="HJ173" s="35"/>
      <c r="HK173" s="35"/>
      <c r="HL173" s="35"/>
      <c r="HM173" s="35"/>
      <c r="HN173" s="35"/>
      <c r="HO173" s="35"/>
      <c r="HP173" s="35"/>
      <c r="HQ173" s="35"/>
      <c r="HR173" s="35"/>
      <c r="HS173" s="35"/>
      <c r="HT173" s="35"/>
      <c r="HU173" s="35"/>
      <c r="HV173" s="35"/>
      <c r="HW173" s="35"/>
      <c r="HX173" s="35"/>
      <c r="HY173" s="35"/>
      <c r="HZ173" s="35"/>
      <c r="IA173" s="35"/>
      <c r="IB173" s="35"/>
      <c r="IC173" s="35"/>
      <c r="ID173" s="35"/>
      <c r="IE173" s="35"/>
      <c r="IF173" s="35"/>
      <c r="IG173" s="35"/>
      <c r="IH173" s="35"/>
      <c r="II173" s="35"/>
      <c r="IJ173" s="35"/>
      <c r="IK173" s="35"/>
      <c r="IL173" s="35"/>
      <c r="IM173" s="35"/>
      <c r="IN173" s="35"/>
      <c r="IO173" s="35"/>
      <c r="IP173" s="35"/>
      <c r="IQ173" s="35"/>
      <c r="IR173" s="35"/>
      <c r="IS173" s="35"/>
      <c r="IT173" s="35"/>
      <c r="IU173" s="35"/>
      <c r="IV173" s="35"/>
      <c r="IW173" s="35"/>
      <c r="IX173" s="35"/>
      <c r="IY173" s="35"/>
      <c r="IZ173" s="35"/>
      <c r="JA173" s="35"/>
      <c r="JB173" s="35"/>
      <c r="JC173" s="35"/>
      <c r="JD173" s="35"/>
      <c r="JE173" s="35"/>
      <c r="JF173" s="35"/>
      <c r="JG173" s="35"/>
      <c r="JH173" s="35"/>
      <c r="JI173" s="35"/>
      <c r="JJ173" s="35"/>
      <c r="JK173" s="35"/>
      <c r="JL173" s="35"/>
      <c r="JM173" s="35"/>
      <c r="JN173" s="35"/>
      <c r="JO173" s="35"/>
      <c r="JP173" s="35"/>
      <c r="JQ173" s="35"/>
      <c r="JR173" s="35"/>
      <c r="JS173" s="35"/>
      <c r="JT173" s="35"/>
      <c r="JU173" s="35"/>
      <c r="JV173" s="35"/>
      <c r="JW173" s="35"/>
      <c r="JX173" s="35"/>
      <c r="JY173" s="35"/>
    </row>
    <row r="174">
      <c r="A174" s="28" t="s">
        <v>384</v>
      </c>
      <c r="B174" s="30"/>
      <c r="C174" s="78"/>
      <c r="D174" s="30"/>
      <c r="E174" s="31"/>
      <c r="F174" s="32"/>
      <c r="G174" s="32"/>
      <c r="H174" s="33"/>
      <c r="I174" s="72"/>
      <c r="J174" s="32"/>
      <c r="K174" s="33"/>
      <c r="L174" s="36" t="b">
        <v>0</v>
      </c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HA174" s="35"/>
      <c r="HB174" s="35"/>
      <c r="HC174" s="35"/>
      <c r="HD174" s="35"/>
      <c r="HE174" s="35"/>
      <c r="HF174" s="35"/>
      <c r="HG174" s="35"/>
      <c r="HH174" s="35"/>
      <c r="HI174" s="35"/>
      <c r="HJ174" s="35"/>
      <c r="HK174" s="35"/>
      <c r="HL174" s="35"/>
      <c r="HM174" s="35"/>
      <c r="HN174" s="35"/>
      <c r="HO174" s="35"/>
      <c r="HP174" s="35"/>
      <c r="HQ174" s="35"/>
      <c r="HR174" s="35"/>
      <c r="HS174" s="35"/>
      <c r="HT174" s="35"/>
      <c r="HU174" s="35"/>
      <c r="HV174" s="35"/>
      <c r="HW174" s="35"/>
      <c r="HX174" s="35"/>
      <c r="HY174" s="35"/>
      <c r="HZ174" s="35"/>
      <c r="IA174" s="35"/>
      <c r="IB174" s="35"/>
      <c r="IC174" s="35"/>
      <c r="ID174" s="35"/>
      <c r="IE174" s="35"/>
      <c r="IF174" s="35"/>
      <c r="IG174" s="35"/>
      <c r="IH174" s="35"/>
      <c r="II174" s="35"/>
      <c r="IJ174" s="35"/>
      <c r="IK174" s="35"/>
      <c r="IL174" s="35"/>
      <c r="IM174" s="35"/>
      <c r="IN174" s="35"/>
      <c r="IO174" s="35"/>
      <c r="IP174" s="35"/>
      <c r="IQ174" s="35"/>
      <c r="IR174" s="35"/>
      <c r="IS174" s="35"/>
      <c r="IT174" s="35"/>
      <c r="IU174" s="35"/>
      <c r="IV174" s="35"/>
      <c r="IW174" s="35"/>
      <c r="IX174" s="35"/>
      <c r="IY174" s="35"/>
      <c r="IZ174" s="35"/>
      <c r="JA174" s="35"/>
      <c r="JB174" s="35"/>
      <c r="JC174" s="35"/>
      <c r="JD174" s="35"/>
      <c r="JE174" s="35"/>
      <c r="JF174" s="35"/>
      <c r="JG174" s="35"/>
      <c r="JH174" s="35"/>
      <c r="JI174" s="35"/>
      <c r="JJ174" s="35"/>
      <c r="JK174" s="35"/>
      <c r="JL174" s="35"/>
      <c r="JM174" s="35"/>
      <c r="JN174" s="35"/>
      <c r="JO174" s="35"/>
      <c r="JP174" s="35"/>
      <c r="JQ174" s="35"/>
      <c r="JR174" s="35"/>
      <c r="JS174" s="35"/>
      <c r="JT174" s="35"/>
      <c r="JU174" s="35"/>
      <c r="JV174" s="35"/>
      <c r="JW174" s="35"/>
      <c r="JX174" s="35"/>
      <c r="JY174" s="35"/>
    </row>
    <row r="175">
      <c r="A175" s="28" t="s">
        <v>385</v>
      </c>
      <c r="B175" s="30"/>
      <c r="C175" s="78"/>
      <c r="D175" s="30"/>
      <c r="E175" s="31"/>
      <c r="F175" s="32"/>
      <c r="G175" s="32"/>
      <c r="H175" s="33"/>
      <c r="I175" s="72"/>
      <c r="J175" s="32"/>
      <c r="K175" s="33"/>
      <c r="L175" s="36" t="b">
        <v>0</v>
      </c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s="35"/>
      <c r="EE175" s="35"/>
      <c r="EF175" s="35"/>
      <c r="EG175" s="35"/>
      <c r="EH175" s="35"/>
      <c r="EI175" s="35"/>
      <c r="EJ175" s="35"/>
      <c r="EK175" s="35"/>
      <c r="EL175" s="35"/>
      <c r="EM175" s="35"/>
      <c r="EN175" s="35"/>
      <c r="EO175" s="35"/>
      <c r="EP175" s="35"/>
      <c r="EQ175" s="35"/>
      <c r="ER175" s="35"/>
      <c r="ES175" s="35"/>
      <c r="ET175" s="35"/>
      <c r="EU175" s="35"/>
      <c r="EV175" s="35"/>
      <c r="EW175" s="35"/>
      <c r="EX175" s="35"/>
      <c r="EY175" s="35"/>
      <c r="EZ175" s="35"/>
      <c r="FA175" s="35"/>
      <c r="FB175" s="35"/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35"/>
      <c r="FS175" s="35"/>
      <c r="FT175" s="35"/>
      <c r="FU175" s="35"/>
      <c r="FV175" s="35"/>
      <c r="FW175" s="35"/>
      <c r="FX175" s="35"/>
      <c r="FY175" s="35"/>
      <c r="FZ175" s="35"/>
      <c r="GA175" s="35"/>
      <c r="GB175" s="35"/>
      <c r="GC175" s="35"/>
      <c r="GD175" s="35"/>
      <c r="GE175" s="35"/>
      <c r="GF175" s="35"/>
      <c r="GG175" s="35"/>
      <c r="GH175" s="35"/>
      <c r="GI175" s="35"/>
      <c r="GJ175" s="35"/>
      <c r="GK175" s="35"/>
      <c r="GL175" s="35"/>
      <c r="GM175" s="35"/>
      <c r="GN175" s="35"/>
      <c r="GO175" s="35"/>
      <c r="GP175" s="35"/>
      <c r="GQ175" s="35"/>
      <c r="GR175" s="35"/>
      <c r="GS175" s="35"/>
      <c r="GT175" s="35"/>
      <c r="GU175" s="35"/>
      <c r="GV175" s="35"/>
      <c r="GW175" s="35"/>
      <c r="GX175" s="35"/>
      <c r="GY175" s="35"/>
      <c r="GZ175" s="35"/>
      <c r="HA175" s="35"/>
      <c r="HB175" s="35"/>
      <c r="HC175" s="35"/>
      <c r="HD175" s="35"/>
      <c r="HE175" s="35"/>
      <c r="HF175" s="35"/>
      <c r="HG175" s="35"/>
      <c r="HH175" s="35"/>
      <c r="HI175" s="35"/>
      <c r="HJ175" s="35"/>
      <c r="HK175" s="35"/>
      <c r="HL175" s="35"/>
      <c r="HM175" s="35"/>
      <c r="HN175" s="35"/>
      <c r="HO175" s="35"/>
      <c r="HP175" s="35"/>
      <c r="HQ175" s="35"/>
      <c r="HR175" s="35"/>
      <c r="HS175" s="35"/>
      <c r="HT175" s="35"/>
      <c r="HU175" s="35"/>
      <c r="HV175" s="35"/>
      <c r="HW175" s="35"/>
      <c r="HX175" s="35"/>
      <c r="HY175" s="35"/>
      <c r="HZ175" s="35"/>
      <c r="IA175" s="35"/>
      <c r="IB175" s="35"/>
      <c r="IC175" s="35"/>
      <c r="ID175" s="35"/>
      <c r="IE175" s="35"/>
      <c r="IF175" s="35"/>
      <c r="IG175" s="35"/>
      <c r="IH175" s="35"/>
      <c r="II175" s="35"/>
      <c r="IJ175" s="35"/>
      <c r="IK175" s="35"/>
      <c r="IL175" s="35"/>
      <c r="IM175" s="35"/>
      <c r="IN175" s="35"/>
      <c r="IO175" s="35"/>
      <c r="IP175" s="35"/>
      <c r="IQ175" s="35"/>
      <c r="IR175" s="35"/>
      <c r="IS175" s="35"/>
      <c r="IT175" s="35"/>
      <c r="IU175" s="35"/>
      <c r="IV175" s="35"/>
      <c r="IW175" s="35"/>
      <c r="IX175" s="35"/>
      <c r="IY175" s="35"/>
      <c r="IZ175" s="35"/>
      <c r="JA175" s="35"/>
      <c r="JB175" s="35"/>
      <c r="JC175" s="35"/>
      <c r="JD175" s="35"/>
      <c r="JE175" s="35"/>
      <c r="JF175" s="35"/>
      <c r="JG175" s="35"/>
      <c r="JH175" s="35"/>
      <c r="JI175" s="35"/>
      <c r="JJ175" s="35"/>
      <c r="JK175" s="35"/>
      <c r="JL175" s="35"/>
      <c r="JM175" s="35"/>
      <c r="JN175" s="35"/>
      <c r="JO175" s="35"/>
      <c r="JP175" s="35"/>
      <c r="JQ175" s="35"/>
      <c r="JR175" s="35"/>
      <c r="JS175" s="35"/>
      <c r="JT175" s="35"/>
      <c r="JU175" s="35"/>
      <c r="JV175" s="35"/>
      <c r="JW175" s="35"/>
      <c r="JX175" s="35"/>
      <c r="JY175" s="35"/>
    </row>
    <row r="176">
      <c r="A176" s="28" t="s">
        <v>386</v>
      </c>
      <c r="B176" s="30"/>
      <c r="C176" s="78"/>
      <c r="D176" s="30"/>
      <c r="E176" s="31"/>
      <c r="F176" s="32"/>
      <c r="G176" s="32"/>
      <c r="H176" s="33"/>
      <c r="I176" s="72"/>
      <c r="J176" s="32"/>
      <c r="K176" s="33"/>
      <c r="L176" s="36" t="b">
        <v>0</v>
      </c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  <c r="FS176" s="35"/>
      <c r="FT176" s="35"/>
      <c r="FU176" s="35"/>
      <c r="FV176" s="35"/>
      <c r="FW176" s="35"/>
      <c r="FX176" s="35"/>
      <c r="FY176" s="35"/>
      <c r="FZ176" s="35"/>
      <c r="GA176" s="35"/>
      <c r="GB176" s="35"/>
      <c r="GC176" s="35"/>
      <c r="GD176" s="35"/>
      <c r="GE176" s="35"/>
      <c r="GF176" s="35"/>
      <c r="GG176" s="35"/>
      <c r="GH176" s="35"/>
      <c r="GI176" s="35"/>
      <c r="GJ176" s="35"/>
      <c r="GK176" s="35"/>
      <c r="GL176" s="35"/>
      <c r="GM176" s="35"/>
      <c r="GN176" s="35"/>
      <c r="GO176" s="35"/>
      <c r="GP176" s="35"/>
      <c r="GQ176" s="35"/>
      <c r="GR176" s="35"/>
      <c r="GS176" s="35"/>
      <c r="GT176" s="35"/>
      <c r="GU176" s="35"/>
      <c r="GV176" s="35"/>
      <c r="GW176" s="35"/>
      <c r="GX176" s="35"/>
      <c r="GY176" s="35"/>
      <c r="GZ176" s="35"/>
      <c r="HA176" s="35"/>
      <c r="HB176" s="35"/>
      <c r="HC176" s="35"/>
      <c r="HD176" s="35"/>
      <c r="HE176" s="35"/>
      <c r="HF176" s="35"/>
      <c r="HG176" s="35"/>
      <c r="HH176" s="35"/>
      <c r="HI176" s="35"/>
      <c r="HJ176" s="35"/>
      <c r="HK176" s="35"/>
      <c r="HL176" s="35"/>
      <c r="HM176" s="35"/>
      <c r="HN176" s="35"/>
      <c r="HO176" s="35"/>
      <c r="HP176" s="35"/>
      <c r="HQ176" s="35"/>
      <c r="HR176" s="35"/>
      <c r="HS176" s="35"/>
      <c r="HT176" s="35"/>
      <c r="HU176" s="35"/>
      <c r="HV176" s="35"/>
      <c r="HW176" s="35"/>
      <c r="HX176" s="35"/>
      <c r="HY176" s="35"/>
      <c r="HZ176" s="35"/>
      <c r="IA176" s="35"/>
      <c r="IB176" s="35"/>
      <c r="IC176" s="35"/>
      <c r="ID176" s="35"/>
      <c r="IE176" s="35"/>
      <c r="IF176" s="35"/>
      <c r="IG176" s="35"/>
      <c r="IH176" s="35"/>
      <c r="II176" s="35"/>
      <c r="IJ176" s="35"/>
      <c r="IK176" s="35"/>
      <c r="IL176" s="35"/>
      <c r="IM176" s="35"/>
      <c r="IN176" s="35"/>
      <c r="IO176" s="35"/>
      <c r="IP176" s="35"/>
      <c r="IQ176" s="35"/>
      <c r="IR176" s="35"/>
      <c r="IS176" s="35"/>
      <c r="IT176" s="35"/>
      <c r="IU176" s="35"/>
      <c r="IV176" s="35"/>
      <c r="IW176" s="35"/>
      <c r="IX176" s="35"/>
      <c r="IY176" s="35"/>
      <c r="IZ176" s="35"/>
      <c r="JA176" s="35"/>
      <c r="JB176" s="35"/>
      <c r="JC176" s="35"/>
      <c r="JD176" s="35"/>
      <c r="JE176" s="35"/>
      <c r="JF176" s="35"/>
      <c r="JG176" s="35"/>
      <c r="JH176" s="35"/>
      <c r="JI176" s="35"/>
      <c r="JJ176" s="35"/>
      <c r="JK176" s="35"/>
      <c r="JL176" s="35"/>
      <c r="JM176" s="35"/>
      <c r="JN176" s="35"/>
      <c r="JO176" s="35"/>
      <c r="JP176" s="35"/>
      <c r="JQ176" s="35"/>
      <c r="JR176" s="35"/>
      <c r="JS176" s="35"/>
      <c r="JT176" s="35"/>
      <c r="JU176" s="35"/>
      <c r="JV176" s="35"/>
      <c r="JW176" s="35"/>
      <c r="JX176" s="35"/>
      <c r="JY176" s="35"/>
    </row>
    <row r="177">
      <c r="A177" s="28" t="s">
        <v>387</v>
      </c>
      <c r="B177" s="30"/>
      <c r="C177" s="78"/>
      <c r="D177" s="30"/>
      <c r="E177" s="31"/>
      <c r="F177" s="32"/>
      <c r="G177" s="32"/>
      <c r="H177" s="33"/>
      <c r="I177" s="72"/>
      <c r="J177" s="32"/>
      <c r="K177" s="33"/>
      <c r="L177" s="36" t="b">
        <v>0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  <c r="FS177" s="35"/>
      <c r="FT177" s="35"/>
      <c r="FU177" s="35"/>
      <c r="FV177" s="35"/>
      <c r="FW177" s="35"/>
      <c r="FX177" s="35"/>
      <c r="FY177" s="35"/>
      <c r="FZ177" s="35"/>
      <c r="GA177" s="35"/>
      <c r="GB177" s="35"/>
      <c r="GC177" s="35"/>
      <c r="GD177" s="35"/>
      <c r="GE177" s="35"/>
      <c r="GF177" s="35"/>
      <c r="GG177" s="35"/>
      <c r="GH177" s="35"/>
      <c r="GI177" s="35"/>
      <c r="GJ177" s="35"/>
      <c r="GK177" s="35"/>
      <c r="GL177" s="35"/>
      <c r="GM177" s="35"/>
      <c r="GN177" s="35"/>
      <c r="GO177" s="35"/>
      <c r="GP177" s="35"/>
      <c r="GQ177" s="35"/>
      <c r="GR177" s="35"/>
      <c r="GS177" s="35"/>
      <c r="GT177" s="35"/>
      <c r="GU177" s="35"/>
      <c r="GV177" s="35"/>
      <c r="GW177" s="35"/>
      <c r="GX177" s="35"/>
      <c r="GY177" s="35"/>
      <c r="GZ177" s="35"/>
      <c r="HA177" s="35"/>
      <c r="HB177" s="35"/>
      <c r="HC177" s="35"/>
      <c r="HD177" s="35"/>
      <c r="HE177" s="35"/>
      <c r="HF177" s="35"/>
      <c r="HG177" s="35"/>
      <c r="HH177" s="35"/>
      <c r="HI177" s="35"/>
      <c r="HJ177" s="35"/>
      <c r="HK177" s="35"/>
      <c r="HL177" s="35"/>
      <c r="HM177" s="35"/>
      <c r="HN177" s="35"/>
      <c r="HO177" s="35"/>
      <c r="HP177" s="35"/>
      <c r="HQ177" s="35"/>
      <c r="HR177" s="35"/>
      <c r="HS177" s="35"/>
      <c r="HT177" s="35"/>
      <c r="HU177" s="35"/>
      <c r="HV177" s="35"/>
      <c r="HW177" s="35"/>
      <c r="HX177" s="35"/>
      <c r="HY177" s="35"/>
      <c r="HZ177" s="35"/>
      <c r="IA177" s="35"/>
      <c r="IB177" s="35"/>
      <c r="IC177" s="35"/>
      <c r="ID177" s="35"/>
      <c r="IE177" s="35"/>
      <c r="IF177" s="35"/>
      <c r="IG177" s="35"/>
      <c r="IH177" s="35"/>
      <c r="II177" s="35"/>
      <c r="IJ177" s="35"/>
      <c r="IK177" s="35"/>
      <c r="IL177" s="35"/>
      <c r="IM177" s="35"/>
      <c r="IN177" s="35"/>
      <c r="IO177" s="35"/>
      <c r="IP177" s="35"/>
      <c r="IQ177" s="35"/>
      <c r="IR177" s="35"/>
      <c r="IS177" s="35"/>
      <c r="IT177" s="35"/>
      <c r="IU177" s="35"/>
      <c r="IV177" s="35"/>
      <c r="IW177" s="35"/>
      <c r="IX177" s="35"/>
      <c r="IY177" s="35"/>
      <c r="IZ177" s="35"/>
      <c r="JA177" s="35"/>
      <c r="JB177" s="35"/>
      <c r="JC177" s="35"/>
      <c r="JD177" s="35"/>
      <c r="JE177" s="35"/>
      <c r="JF177" s="35"/>
      <c r="JG177" s="35"/>
      <c r="JH177" s="35"/>
      <c r="JI177" s="35"/>
      <c r="JJ177" s="35"/>
      <c r="JK177" s="35"/>
      <c r="JL177" s="35"/>
      <c r="JM177" s="35"/>
      <c r="JN177" s="35"/>
      <c r="JO177" s="35"/>
      <c r="JP177" s="35"/>
      <c r="JQ177" s="35"/>
      <c r="JR177" s="35"/>
      <c r="JS177" s="35"/>
      <c r="JT177" s="35"/>
      <c r="JU177" s="35"/>
      <c r="JV177" s="35"/>
      <c r="JW177" s="35"/>
      <c r="JX177" s="35"/>
      <c r="JY177" s="35"/>
    </row>
    <row r="178">
      <c r="A178" s="28" t="s">
        <v>388</v>
      </c>
      <c r="B178" s="30"/>
      <c r="C178" s="78"/>
      <c r="D178" s="30"/>
      <c r="E178" s="31"/>
      <c r="F178" s="32"/>
      <c r="G178" s="32"/>
      <c r="H178" s="33"/>
      <c r="I178" s="72"/>
      <c r="J178" s="32"/>
      <c r="K178" s="33"/>
      <c r="L178" s="36" t="b">
        <v>0</v>
      </c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HA178" s="35"/>
      <c r="HB178" s="35"/>
      <c r="HC178" s="35"/>
      <c r="HD178" s="35"/>
      <c r="HE178" s="35"/>
      <c r="HF178" s="35"/>
      <c r="HG178" s="35"/>
      <c r="HH178" s="35"/>
      <c r="HI178" s="35"/>
      <c r="HJ178" s="35"/>
      <c r="HK178" s="35"/>
      <c r="HL178" s="35"/>
      <c r="HM178" s="35"/>
      <c r="HN178" s="35"/>
      <c r="HO178" s="35"/>
      <c r="HP178" s="35"/>
      <c r="HQ178" s="35"/>
      <c r="HR178" s="35"/>
      <c r="HS178" s="35"/>
      <c r="HT178" s="35"/>
      <c r="HU178" s="35"/>
      <c r="HV178" s="35"/>
      <c r="HW178" s="35"/>
      <c r="HX178" s="35"/>
      <c r="HY178" s="35"/>
      <c r="HZ178" s="35"/>
      <c r="IA178" s="35"/>
      <c r="IB178" s="35"/>
      <c r="IC178" s="35"/>
      <c r="ID178" s="35"/>
      <c r="IE178" s="35"/>
      <c r="IF178" s="35"/>
      <c r="IG178" s="35"/>
      <c r="IH178" s="35"/>
      <c r="II178" s="35"/>
      <c r="IJ178" s="35"/>
      <c r="IK178" s="35"/>
      <c r="IL178" s="35"/>
      <c r="IM178" s="35"/>
      <c r="IN178" s="35"/>
      <c r="IO178" s="35"/>
      <c r="IP178" s="35"/>
      <c r="IQ178" s="35"/>
      <c r="IR178" s="35"/>
      <c r="IS178" s="35"/>
      <c r="IT178" s="35"/>
      <c r="IU178" s="35"/>
      <c r="IV178" s="35"/>
      <c r="IW178" s="35"/>
      <c r="IX178" s="35"/>
      <c r="IY178" s="35"/>
      <c r="IZ178" s="35"/>
      <c r="JA178" s="35"/>
      <c r="JB178" s="35"/>
      <c r="JC178" s="35"/>
      <c r="JD178" s="35"/>
      <c r="JE178" s="35"/>
      <c r="JF178" s="35"/>
      <c r="JG178" s="35"/>
      <c r="JH178" s="35"/>
      <c r="JI178" s="35"/>
      <c r="JJ178" s="35"/>
      <c r="JK178" s="35"/>
      <c r="JL178" s="35"/>
      <c r="JM178" s="35"/>
      <c r="JN178" s="35"/>
      <c r="JO178" s="35"/>
      <c r="JP178" s="35"/>
      <c r="JQ178" s="35"/>
      <c r="JR178" s="35"/>
      <c r="JS178" s="35"/>
      <c r="JT178" s="35"/>
      <c r="JU178" s="35"/>
      <c r="JV178" s="35"/>
      <c r="JW178" s="35"/>
      <c r="JX178" s="35"/>
      <c r="JY178" s="35"/>
    </row>
    <row r="179">
      <c r="A179" s="28" t="s">
        <v>389</v>
      </c>
      <c r="B179" s="30"/>
      <c r="C179" s="78"/>
      <c r="D179" s="30"/>
      <c r="E179" s="31"/>
      <c r="F179" s="32"/>
      <c r="G179" s="32"/>
      <c r="H179" s="33"/>
      <c r="I179" s="72"/>
      <c r="J179" s="32"/>
      <c r="K179" s="33"/>
      <c r="L179" s="36" t="b">
        <v>0</v>
      </c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  <c r="EZ179" s="35"/>
      <c r="FA179" s="35"/>
      <c r="FB179" s="35"/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35"/>
      <c r="FS179" s="35"/>
      <c r="FT179" s="35"/>
      <c r="FU179" s="35"/>
      <c r="FV179" s="35"/>
      <c r="FW179" s="35"/>
      <c r="FX179" s="35"/>
      <c r="FY179" s="35"/>
      <c r="FZ179" s="35"/>
      <c r="GA179" s="35"/>
      <c r="GB179" s="35"/>
      <c r="GC179" s="35"/>
      <c r="GD179" s="35"/>
      <c r="GE179" s="35"/>
      <c r="GF179" s="35"/>
      <c r="GG179" s="35"/>
      <c r="GH179" s="35"/>
      <c r="GI179" s="35"/>
      <c r="GJ179" s="35"/>
      <c r="GK179" s="35"/>
      <c r="GL179" s="35"/>
      <c r="GM179" s="35"/>
      <c r="GN179" s="35"/>
      <c r="GO179" s="35"/>
      <c r="GP179" s="35"/>
      <c r="GQ179" s="35"/>
      <c r="GR179" s="35"/>
      <c r="GS179" s="35"/>
      <c r="GT179" s="35"/>
      <c r="GU179" s="35"/>
      <c r="GV179" s="35"/>
      <c r="GW179" s="35"/>
      <c r="GX179" s="35"/>
      <c r="GY179" s="35"/>
      <c r="GZ179" s="35"/>
      <c r="HA179" s="35"/>
      <c r="HB179" s="35"/>
      <c r="HC179" s="35"/>
      <c r="HD179" s="35"/>
      <c r="HE179" s="35"/>
      <c r="HF179" s="35"/>
      <c r="HG179" s="35"/>
      <c r="HH179" s="35"/>
      <c r="HI179" s="35"/>
      <c r="HJ179" s="35"/>
      <c r="HK179" s="35"/>
      <c r="HL179" s="35"/>
      <c r="HM179" s="35"/>
      <c r="HN179" s="35"/>
      <c r="HO179" s="35"/>
      <c r="HP179" s="35"/>
      <c r="HQ179" s="35"/>
      <c r="HR179" s="35"/>
      <c r="HS179" s="35"/>
      <c r="HT179" s="35"/>
      <c r="HU179" s="35"/>
      <c r="HV179" s="35"/>
      <c r="HW179" s="35"/>
      <c r="HX179" s="35"/>
      <c r="HY179" s="35"/>
      <c r="HZ179" s="35"/>
      <c r="IA179" s="35"/>
      <c r="IB179" s="35"/>
      <c r="IC179" s="35"/>
      <c r="ID179" s="35"/>
      <c r="IE179" s="35"/>
      <c r="IF179" s="35"/>
      <c r="IG179" s="35"/>
      <c r="IH179" s="35"/>
      <c r="II179" s="35"/>
      <c r="IJ179" s="35"/>
      <c r="IK179" s="35"/>
      <c r="IL179" s="35"/>
      <c r="IM179" s="35"/>
      <c r="IN179" s="35"/>
      <c r="IO179" s="35"/>
      <c r="IP179" s="35"/>
      <c r="IQ179" s="35"/>
      <c r="IR179" s="35"/>
      <c r="IS179" s="35"/>
      <c r="IT179" s="35"/>
      <c r="IU179" s="35"/>
      <c r="IV179" s="35"/>
      <c r="IW179" s="35"/>
      <c r="IX179" s="35"/>
      <c r="IY179" s="35"/>
      <c r="IZ179" s="35"/>
      <c r="JA179" s="35"/>
      <c r="JB179" s="35"/>
      <c r="JC179" s="35"/>
      <c r="JD179" s="35"/>
      <c r="JE179" s="35"/>
      <c r="JF179" s="35"/>
      <c r="JG179" s="35"/>
      <c r="JH179" s="35"/>
      <c r="JI179" s="35"/>
      <c r="JJ179" s="35"/>
      <c r="JK179" s="35"/>
      <c r="JL179" s="35"/>
      <c r="JM179" s="35"/>
      <c r="JN179" s="35"/>
      <c r="JO179" s="35"/>
      <c r="JP179" s="35"/>
      <c r="JQ179" s="35"/>
      <c r="JR179" s="35"/>
      <c r="JS179" s="35"/>
      <c r="JT179" s="35"/>
      <c r="JU179" s="35"/>
      <c r="JV179" s="35"/>
      <c r="JW179" s="35"/>
      <c r="JX179" s="35"/>
      <c r="JY179" s="35"/>
    </row>
    <row r="180">
      <c r="A180" s="28" t="s">
        <v>390</v>
      </c>
      <c r="B180" s="30"/>
      <c r="C180" s="78"/>
      <c r="D180" s="30"/>
      <c r="E180" s="31"/>
      <c r="F180" s="32"/>
      <c r="G180" s="32"/>
      <c r="H180" s="33"/>
      <c r="I180" s="72"/>
      <c r="J180" s="32"/>
      <c r="K180" s="33"/>
      <c r="L180" s="36" t="b">
        <v>0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  <c r="EZ180" s="35"/>
      <c r="FA180" s="35"/>
      <c r="FB180" s="35"/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  <c r="FS180" s="35"/>
      <c r="FT180" s="35"/>
      <c r="FU180" s="35"/>
      <c r="FV180" s="35"/>
      <c r="FW180" s="35"/>
      <c r="FX180" s="35"/>
      <c r="FY180" s="35"/>
      <c r="FZ180" s="35"/>
      <c r="GA180" s="35"/>
      <c r="GB180" s="35"/>
      <c r="GC180" s="35"/>
      <c r="GD180" s="35"/>
      <c r="GE180" s="35"/>
      <c r="GF180" s="35"/>
      <c r="GG180" s="35"/>
      <c r="GH180" s="35"/>
      <c r="GI180" s="35"/>
      <c r="GJ180" s="35"/>
      <c r="GK180" s="35"/>
      <c r="GL180" s="35"/>
      <c r="GM180" s="35"/>
      <c r="GN180" s="35"/>
      <c r="GO180" s="35"/>
      <c r="GP180" s="35"/>
      <c r="GQ180" s="35"/>
      <c r="GR180" s="35"/>
      <c r="GS180" s="35"/>
      <c r="GT180" s="35"/>
      <c r="GU180" s="35"/>
      <c r="GV180" s="35"/>
      <c r="GW180" s="35"/>
      <c r="GX180" s="35"/>
      <c r="GY180" s="35"/>
      <c r="GZ180" s="35"/>
      <c r="HA180" s="35"/>
      <c r="HB180" s="35"/>
      <c r="HC180" s="35"/>
      <c r="HD180" s="35"/>
      <c r="HE180" s="35"/>
      <c r="HF180" s="35"/>
      <c r="HG180" s="35"/>
      <c r="HH180" s="35"/>
      <c r="HI180" s="35"/>
      <c r="HJ180" s="35"/>
      <c r="HK180" s="35"/>
      <c r="HL180" s="35"/>
      <c r="HM180" s="35"/>
      <c r="HN180" s="35"/>
      <c r="HO180" s="35"/>
      <c r="HP180" s="35"/>
      <c r="HQ180" s="35"/>
      <c r="HR180" s="35"/>
      <c r="HS180" s="35"/>
      <c r="HT180" s="35"/>
      <c r="HU180" s="35"/>
      <c r="HV180" s="35"/>
      <c r="HW180" s="35"/>
      <c r="HX180" s="35"/>
      <c r="HY180" s="35"/>
      <c r="HZ180" s="35"/>
      <c r="IA180" s="35"/>
      <c r="IB180" s="35"/>
      <c r="IC180" s="35"/>
      <c r="ID180" s="35"/>
      <c r="IE180" s="35"/>
      <c r="IF180" s="35"/>
      <c r="IG180" s="35"/>
      <c r="IH180" s="35"/>
      <c r="II180" s="35"/>
      <c r="IJ180" s="35"/>
      <c r="IK180" s="35"/>
      <c r="IL180" s="35"/>
      <c r="IM180" s="35"/>
      <c r="IN180" s="35"/>
      <c r="IO180" s="35"/>
      <c r="IP180" s="35"/>
      <c r="IQ180" s="35"/>
      <c r="IR180" s="35"/>
      <c r="IS180" s="35"/>
      <c r="IT180" s="35"/>
      <c r="IU180" s="35"/>
      <c r="IV180" s="35"/>
      <c r="IW180" s="35"/>
      <c r="IX180" s="35"/>
      <c r="IY180" s="35"/>
      <c r="IZ180" s="35"/>
      <c r="JA180" s="35"/>
      <c r="JB180" s="35"/>
      <c r="JC180" s="35"/>
      <c r="JD180" s="35"/>
      <c r="JE180" s="35"/>
      <c r="JF180" s="35"/>
      <c r="JG180" s="35"/>
      <c r="JH180" s="35"/>
      <c r="JI180" s="35"/>
      <c r="JJ180" s="35"/>
      <c r="JK180" s="35"/>
      <c r="JL180" s="35"/>
      <c r="JM180" s="35"/>
      <c r="JN180" s="35"/>
      <c r="JO180" s="35"/>
      <c r="JP180" s="35"/>
      <c r="JQ180" s="35"/>
      <c r="JR180" s="35"/>
      <c r="JS180" s="35"/>
      <c r="JT180" s="35"/>
      <c r="JU180" s="35"/>
      <c r="JV180" s="35"/>
      <c r="JW180" s="35"/>
      <c r="JX180" s="35"/>
      <c r="JY180" s="35"/>
    </row>
    <row r="181">
      <c r="A181" s="28" t="s">
        <v>391</v>
      </c>
      <c r="B181" s="30"/>
      <c r="C181" s="78"/>
      <c r="D181" s="30"/>
      <c r="E181" s="31"/>
      <c r="F181" s="32"/>
      <c r="G181" s="32"/>
      <c r="H181" s="33"/>
      <c r="I181" s="72"/>
      <c r="J181" s="32"/>
      <c r="K181" s="33"/>
      <c r="L181" s="36" t="b">
        <v>0</v>
      </c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  <c r="EZ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  <c r="FS181" s="35"/>
      <c r="FT181" s="35"/>
      <c r="FU181" s="35"/>
      <c r="FV181" s="35"/>
      <c r="FW181" s="35"/>
      <c r="FX181" s="35"/>
      <c r="FY181" s="35"/>
      <c r="FZ181" s="35"/>
      <c r="GA181" s="35"/>
      <c r="GB181" s="35"/>
      <c r="GC181" s="35"/>
      <c r="GD181" s="35"/>
      <c r="GE181" s="35"/>
      <c r="GF181" s="35"/>
      <c r="GG181" s="35"/>
      <c r="GH181" s="35"/>
      <c r="GI181" s="35"/>
      <c r="GJ181" s="35"/>
      <c r="GK181" s="35"/>
      <c r="GL181" s="35"/>
      <c r="GM181" s="35"/>
      <c r="GN181" s="35"/>
      <c r="GO181" s="35"/>
      <c r="GP181" s="35"/>
      <c r="GQ181" s="35"/>
      <c r="GR181" s="35"/>
      <c r="GS181" s="35"/>
      <c r="GT181" s="35"/>
      <c r="GU181" s="35"/>
      <c r="GV181" s="35"/>
      <c r="GW181" s="35"/>
      <c r="GX181" s="35"/>
      <c r="GY181" s="35"/>
      <c r="GZ181" s="35"/>
      <c r="HA181" s="35"/>
      <c r="HB181" s="35"/>
      <c r="HC181" s="35"/>
      <c r="HD181" s="35"/>
      <c r="HE181" s="35"/>
      <c r="HF181" s="35"/>
      <c r="HG181" s="35"/>
      <c r="HH181" s="35"/>
      <c r="HI181" s="35"/>
      <c r="HJ181" s="35"/>
      <c r="HK181" s="35"/>
      <c r="HL181" s="35"/>
      <c r="HM181" s="35"/>
      <c r="HN181" s="35"/>
      <c r="HO181" s="35"/>
      <c r="HP181" s="35"/>
      <c r="HQ181" s="35"/>
      <c r="HR181" s="35"/>
      <c r="HS181" s="35"/>
      <c r="HT181" s="35"/>
      <c r="HU181" s="35"/>
      <c r="HV181" s="35"/>
      <c r="HW181" s="35"/>
      <c r="HX181" s="35"/>
      <c r="HY181" s="35"/>
      <c r="HZ181" s="35"/>
      <c r="IA181" s="35"/>
      <c r="IB181" s="35"/>
      <c r="IC181" s="35"/>
      <c r="ID181" s="35"/>
      <c r="IE181" s="35"/>
      <c r="IF181" s="35"/>
      <c r="IG181" s="35"/>
      <c r="IH181" s="35"/>
      <c r="II181" s="35"/>
      <c r="IJ181" s="35"/>
      <c r="IK181" s="35"/>
      <c r="IL181" s="35"/>
      <c r="IM181" s="35"/>
      <c r="IN181" s="35"/>
      <c r="IO181" s="35"/>
      <c r="IP181" s="35"/>
      <c r="IQ181" s="35"/>
      <c r="IR181" s="35"/>
      <c r="IS181" s="35"/>
      <c r="IT181" s="35"/>
      <c r="IU181" s="35"/>
      <c r="IV181" s="35"/>
      <c r="IW181" s="35"/>
      <c r="IX181" s="35"/>
      <c r="IY181" s="35"/>
      <c r="IZ181" s="35"/>
      <c r="JA181" s="35"/>
      <c r="JB181" s="35"/>
      <c r="JC181" s="35"/>
      <c r="JD181" s="35"/>
      <c r="JE181" s="35"/>
      <c r="JF181" s="35"/>
      <c r="JG181" s="35"/>
      <c r="JH181" s="35"/>
      <c r="JI181" s="35"/>
      <c r="JJ181" s="35"/>
      <c r="JK181" s="35"/>
      <c r="JL181" s="35"/>
      <c r="JM181" s="35"/>
      <c r="JN181" s="35"/>
      <c r="JO181" s="35"/>
      <c r="JP181" s="35"/>
      <c r="JQ181" s="35"/>
      <c r="JR181" s="35"/>
      <c r="JS181" s="35"/>
      <c r="JT181" s="35"/>
      <c r="JU181" s="35"/>
      <c r="JV181" s="35"/>
      <c r="JW181" s="35"/>
      <c r="JX181" s="35"/>
      <c r="JY181" s="35"/>
    </row>
    <row r="182">
      <c r="A182" s="28" t="s">
        <v>392</v>
      </c>
      <c r="B182" s="30"/>
      <c r="C182" s="78"/>
      <c r="D182" s="30"/>
      <c r="E182" s="31"/>
      <c r="F182" s="32"/>
      <c r="G182" s="32"/>
      <c r="H182" s="33"/>
      <c r="I182" s="72"/>
      <c r="J182" s="32"/>
      <c r="K182" s="33"/>
      <c r="L182" s="36" t="b">
        <v>0</v>
      </c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  <c r="ER182" s="35"/>
      <c r="ES182" s="35"/>
      <c r="ET182" s="35"/>
      <c r="EU182" s="35"/>
      <c r="EV182" s="35"/>
      <c r="EW182" s="35"/>
      <c r="EX182" s="35"/>
      <c r="EY182" s="35"/>
      <c r="EZ182" s="35"/>
      <c r="FA182" s="35"/>
      <c r="FB182" s="35"/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  <c r="FM182" s="35"/>
      <c r="FN182" s="35"/>
      <c r="FO182" s="35"/>
      <c r="FP182" s="35"/>
      <c r="FQ182" s="35"/>
      <c r="FR182" s="35"/>
      <c r="FS182" s="35"/>
      <c r="FT182" s="35"/>
      <c r="FU182" s="35"/>
      <c r="FV182" s="35"/>
      <c r="FW182" s="35"/>
      <c r="FX182" s="35"/>
      <c r="FY182" s="35"/>
      <c r="FZ182" s="35"/>
      <c r="GA182" s="35"/>
      <c r="GB182" s="35"/>
      <c r="GC182" s="35"/>
      <c r="GD182" s="35"/>
      <c r="GE182" s="35"/>
      <c r="GF182" s="35"/>
      <c r="GG182" s="35"/>
      <c r="GH182" s="35"/>
      <c r="GI182" s="35"/>
      <c r="GJ182" s="35"/>
      <c r="GK182" s="35"/>
      <c r="GL182" s="35"/>
      <c r="GM182" s="35"/>
      <c r="GN182" s="35"/>
      <c r="GO182" s="35"/>
      <c r="GP182" s="35"/>
      <c r="GQ182" s="35"/>
      <c r="GR182" s="35"/>
      <c r="GS182" s="35"/>
      <c r="GT182" s="35"/>
      <c r="GU182" s="35"/>
      <c r="GV182" s="35"/>
      <c r="GW182" s="35"/>
      <c r="GX182" s="35"/>
      <c r="GY182" s="35"/>
      <c r="GZ182" s="35"/>
      <c r="HA182" s="35"/>
      <c r="HB182" s="35"/>
      <c r="HC182" s="35"/>
      <c r="HD182" s="35"/>
      <c r="HE182" s="35"/>
      <c r="HF182" s="35"/>
      <c r="HG182" s="35"/>
      <c r="HH182" s="35"/>
      <c r="HI182" s="35"/>
      <c r="HJ182" s="35"/>
      <c r="HK182" s="35"/>
      <c r="HL182" s="35"/>
      <c r="HM182" s="35"/>
      <c r="HN182" s="35"/>
      <c r="HO182" s="35"/>
      <c r="HP182" s="35"/>
      <c r="HQ182" s="35"/>
      <c r="HR182" s="35"/>
      <c r="HS182" s="35"/>
      <c r="HT182" s="35"/>
      <c r="HU182" s="35"/>
      <c r="HV182" s="35"/>
      <c r="HW182" s="35"/>
      <c r="HX182" s="35"/>
      <c r="HY182" s="35"/>
      <c r="HZ182" s="35"/>
      <c r="IA182" s="35"/>
      <c r="IB182" s="35"/>
      <c r="IC182" s="35"/>
      <c r="ID182" s="35"/>
      <c r="IE182" s="35"/>
      <c r="IF182" s="35"/>
      <c r="IG182" s="35"/>
      <c r="IH182" s="35"/>
      <c r="II182" s="35"/>
      <c r="IJ182" s="35"/>
      <c r="IK182" s="35"/>
      <c r="IL182" s="35"/>
      <c r="IM182" s="35"/>
      <c r="IN182" s="35"/>
      <c r="IO182" s="35"/>
      <c r="IP182" s="35"/>
      <c r="IQ182" s="35"/>
      <c r="IR182" s="35"/>
      <c r="IS182" s="35"/>
      <c r="IT182" s="35"/>
      <c r="IU182" s="35"/>
      <c r="IV182" s="35"/>
      <c r="IW182" s="35"/>
      <c r="IX182" s="35"/>
      <c r="IY182" s="35"/>
      <c r="IZ182" s="35"/>
      <c r="JA182" s="35"/>
      <c r="JB182" s="35"/>
      <c r="JC182" s="35"/>
      <c r="JD182" s="35"/>
      <c r="JE182" s="35"/>
      <c r="JF182" s="35"/>
      <c r="JG182" s="35"/>
      <c r="JH182" s="35"/>
      <c r="JI182" s="35"/>
      <c r="JJ182" s="35"/>
      <c r="JK182" s="35"/>
      <c r="JL182" s="35"/>
      <c r="JM182" s="35"/>
      <c r="JN182" s="35"/>
      <c r="JO182" s="35"/>
      <c r="JP182" s="35"/>
      <c r="JQ182" s="35"/>
      <c r="JR182" s="35"/>
      <c r="JS182" s="35"/>
      <c r="JT182" s="35"/>
      <c r="JU182" s="35"/>
      <c r="JV182" s="35"/>
      <c r="JW182" s="35"/>
      <c r="JX182" s="35"/>
      <c r="JY182" s="35"/>
    </row>
    <row r="183">
      <c r="A183" s="28" t="s">
        <v>393</v>
      </c>
      <c r="B183" s="30"/>
      <c r="C183" s="78"/>
      <c r="D183" s="30"/>
      <c r="E183" s="31"/>
      <c r="F183" s="32"/>
      <c r="G183" s="32"/>
      <c r="H183" s="33"/>
      <c r="I183" s="72"/>
      <c r="J183" s="32"/>
      <c r="K183" s="33"/>
      <c r="L183" s="36" t="b">
        <v>0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  <c r="ER183" s="35"/>
      <c r="ES183" s="35"/>
      <c r="ET183" s="35"/>
      <c r="EU183" s="35"/>
      <c r="EV183" s="35"/>
      <c r="EW183" s="35"/>
      <c r="EX183" s="35"/>
      <c r="EY183" s="35"/>
      <c r="EZ183" s="35"/>
      <c r="FA183" s="35"/>
      <c r="FB183" s="35"/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  <c r="FM183" s="35"/>
      <c r="FN183" s="35"/>
      <c r="FO183" s="35"/>
      <c r="FP183" s="35"/>
      <c r="FQ183" s="35"/>
      <c r="FR183" s="35"/>
      <c r="FS183" s="35"/>
      <c r="FT183" s="35"/>
      <c r="FU183" s="35"/>
      <c r="FV183" s="35"/>
      <c r="FW183" s="35"/>
      <c r="FX183" s="35"/>
      <c r="FY183" s="35"/>
      <c r="FZ183" s="35"/>
      <c r="GA183" s="35"/>
      <c r="GB183" s="35"/>
      <c r="GC183" s="35"/>
      <c r="GD183" s="35"/>
      <c r="GE183" s="35"/>
      <c r="GF183" s="35"/>
      <c r="GG183" s="35"/>
      <c r="GH183" s="35"/>
      <c r="GI183" s="35"/>
      <c r="GJ183" s="35"/>
      <c r="GK183" s="35"/>
      <c r="GL183" s="35"/>
      <c r="GM183" s="35"/>
      <c r="GN183" s="35"/>
      <c r="GO183" s="35"/>
      <c r="GP183" s="35"/>
      <c r="GQ183" s="35"/>
      <c r="GR183" s="35"/>
      <c r="GS183" s="35"/>
      <c r="GT183" s="35"/>
      <c r="GU183" s="35"/>
      <c r="GV183" s="35"/>
      <c r="GW183" s="35"/>
      <c r="GX183" s="35"/>
      <c r="GY183" s="35"/>
      <c r="GZ183" s="35"/>
      <c r="HA183" s="35"/>
      <c r="HB183" s="35"/>
      <c r="HC183" s="35"/>
      <c r="HD183" s="35"/>
      <c r="HE183" s="35"/>
      <c r="HF183" s="35"/>
      <c r="HG183" s="35"/>
      <c r="HH183" s="35"/>
      <c r="HI183" s="35"/>
      <c r="HJ183" s="35"/>
      <c r="HK183" s="35"/>
      <c r="HL183" s="35"/>
      <c r="HM183" s="35"/>
      <c r="HN183" s="35"/>
      <c r="HO183" s="35"/>
      <c r="HP183" s="35"/>
      <c r="HQ183" s="35"/>
      <c r="HR183" s="35"/>
      <c r="HS183" s="35"/>
      <c r="HT183" s="35"/>
      <c r="HU183" s="35"/>
      <c r="HV183" s="35"/>
      <c r="HW183" s="35"/>
      <c r="HX183" s="35"/>
      <c r="HY183" s="35"/>
      <c r="HZ183" s="35"/>
      <c r="IA183" s="35"/>
      <c r="IB183" s="35"/>
      <c r="IC183" s="35"/>
      <c r="ID183" s="35"/>
      <c r="IE183" s="35"/>
      <c r="IF183" s="35"/>
      <c r="IG183" s="35"/>
      <c r="IH183" s="35"/>
      <c r="II183" s="35"/>
      <c r="IJ183" s="35"/>
      <c r="IK183" s="35"/>
      <c r="IL183" s="35"/>
      <c r="IM183" s="35"/>
      <c r="IN183" s="35"/>
      <c r="IO183" s="35"/>
      <c r="IP183" s="35"/>
      <c r="IQ183" s="35"/>
      <c r="IR183" s="35"/>
      <c r="IS183" s="35"/>
      <c r="IT183" s="35"/>
      <c r="IU183" s="35"/>
      <c r="IV183" s="35"/>
      <c r="IW183" s="35"/>
      <c r="IX183" s="35"/>
      <c r="IY183" s="35"/>
      <c r="IZ183" s="35"/>
      <c r="JA183" s="35"/>
      <c r="JB183" s="35"/>
      <c r="JC183" s="35"/>
      <c r="JD183" s="35"/>
      <c r="JE183" s="35"/>
      <c r="JF183" s="35"/>
      <c r="JG183" s="35"/>
      <c r="JH183" s="35"/>
      <c r="JI183" s="35"/>
      <c r="JJ183" s="35"/>
      <c r="JK183" s="35"/>
      <c r="JL183" s="35"/>
      <c r="JM183" s="35"/>
      <c r="JN183" s="35"/>
      <c r="JO183" s="35"/>
      <c r="JP183" s="35"/>
      <c r="JQ183" s="35"/>
      <c r="JR183" s="35"/>
      <c r="JS183" s="35"/>
      <c r="JT183" s="35"/>
      <c r="JU183" s="35"/>
      <c r="JV183" s="35"/>
      <c r="JW183" s="35"/>
      <c r="JX183" s="35"/>
      <c r="JY183" s="35"/>
    </row>
    <row r="184">
      <c r="A184" s="28" t="s">
        <v>394</v>
      </c>
      <c r="B184" s="30"/>
      <c r="C184" s="78"/>
      <c r="D184" s="30"/>
      <c r="E184" s="31"/>
      <c r="F184" s="32"/>
      <c r="G184" s="32"/>
      <c r="H184" s="33"/>
      <c r="I184" s="72"/>
      <c r="J184" s="32"/>
      <c r="K184" s="33"/>
      <c r="L184" s="36" t="b">
        <v>0</v>
      </c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DR184" s="35"/>
      <c r="DS184" s="35"/>
      <c r="DT184" s="35"/>
      <c r="DU184" s="35"/>
      <c r="DV184" s="35"/>
      <c r="DW184" s="35"/>
      <c r="DX184" s="35"/>
      <c r="DY184" s="35"/>
      <c r="DZ184" s="35"/>
      <c r="EA184" s="35"/>
      <c r="EB184" s="35"/>
      <c r="EC184" s="35"/>
      <c r="ED184" s="35"/>
      <c r="EE184" s="35"/>
      <c r="EF184" s="35"/>
      <c r="EG184" s="35"/>
      <c r="EH184" s="35"/>
      <c r="EI184" s="35"/>
      <c r="EJ184" s="35"/>
      <c r="EK184" s="35"/>
      <c r="EL184" s="35"/>
      <c r="EM184" s="35"/>
      <c r="EN184" s="35"/>
      <c r="EO184" s="35"/>
      <c r="EP184" s="35"/>
      <c r="EQ184" s="35"/>
      <c r="ER184" s="35"/>
      <c r="ES184" s="35"/>
      <c r="ET184" s="35"/>
      <c r="EU184" s="35"/>
      <c r="EV184" s="35"/>
      <c r="EW184" s="35"/>
      <c r="EX184" s="35"/>
      <c r="EY184" s="35"/>
      <c r="EZ184" s="35"/>
      <c r="FA184" s="35"/>
      <c r="FB184" s="35"/>
      <c r="FC184" s="35"/>
      <c r="FD184" s="35"/>
      <c r="FE184" s="35"/>
      <c r="FF184" s="35"/>
      <c r="FG184" s="35"/>
      <c r="FH184" s="35"/>
      <c r="FI184" s="35"/>
      <c r="FJ184" s="35"/>
      <c r="FK184" s="35"/>
      <c r="FL184" s="35"/>
      <c r="FM184" s="35"/>
      <c r="FN184" s="35"/>
      <c r="FO184" s="35"/>
      <c r="FP184" s="35"/>
      <c r="FQ184" s="35"/>
      <c r="FR184" s="35"/>
      <c r="FS184" s="35"/>
      <c r="FT184" s="35"/>
      <c r="FU184" s="35"/>
      <c r="FV184" s="35"/>
      <c r="FW184" s="35"/>
      <c r="FX184" s="35"/>
      <c r="FY184" s="35"/>
      <c r="FZ184" s="35"/>
      <c r="GA184" s="35"/>
      <c r="GB184" s="35"/>
      <c r="GC184" s="35"/>
      <c r="GD184" s="35"/>
      <c r="GE184" s="35"/>
      <c r="GF184" s="35"/>
      <c r="GG184" s="35"/>
      <c r="GH184" s="35"/>
      <c r="GI184" s="35"/>
      <c r="GJ184" s="35"/>
      <c r="GK184" s="35"/>
      <c r="GL184" s="35"/>
      <c r="GM184" s="35"/>
      <c r="GN184" s="35"/>
      <c r="GO184" s="35"/>
      <c r="GP184" s="35"/>
      <c r="GQ184" s="35"/>
      <c r="GR184" s="35"/>
      <c r="GS184" s="35"/>
      <c r="GT184" s="35"/>
      <c r="GU184" s="35"/>
      <c r="GV184" s="35"/>
      <c r="GW184" s="35"/>
      <c r="GX184" s="35"/>
      <c r="GY184" s="35"/>
      <c r="GZ184" s="35"/>
      <c r="HA184" s="35"/>
      <c r="HB184" s="35"/>
      <c r="HC184" s="35"/>
      <c r="HD184" s="35"/>
      <c r="HE184" s="35"/>
      <c r="HF184" s="35"/>
      <c r="HG184" s="35"/>
      <c r="HH184" s="35"/>
      <c r="HI184" s="35"/>
      <c r="HJ184" s="35"/>
      <c r="HK184" s="35"/>
      <c r="HL184" s="35"/>
      <c r="HM184" s="35"/>
      <c r="HN184" s="35"/>
      <c r="HO184" s="35"/>
      <c r="HP184" s="35"/>
      <c r="HQ184" s="35"/>
      <c r="HR184" s="35"/>
      <c r="HS184" s="35"/>
      <c r="HT184" s="35"/>
      <c r="HU184" s="35"/>
      <c r="HV184" s="35"/>
      <c r="HW184" s="35"/>
      <c r="HX184" s="35"/>
      <c r="HY184" s="35"/>
      <c r="HZ184" s="35"/>
      <c r="IA184" s="35"/>
      <c r="IB184" s="35"/>
      <c r="IC184" s="35"/>
      <c r="ID184" s="35"/>
      <c r="IE184" s="35"/>
      <c r="IF184" s="35"/>
      <c r="IG184" s="35"/>
      <c r="IH184" s="35"/>
      <c r="II184" s="35"/>
      <c r="IJ184" s="35"/>
      <c r="IK184" s="35"/>
      <c r="IL184" s="35"/>
      <c r="IM184" s="35"/>
      <c r="IN184" s="35"/>
      <c r="IO184" s="35"/>
      <c r="IP184" s="35"/>
      <c r="IQ184" s="35"/>
      <c r="IR184" s="35"/>
      <c r="IS184" s="35"/>
      <c r="IT184" s="35"/>
      <c r="IU184" s="35"/>
      <c r="IV184" s="35"/>
      <c r="IW184" s="35"/>
      <c r="IX184" s="35"/>
      <c r="IY184" s="35"/>
      <c r="IZ184" s="35"/>
      <c r="JA184" s="35"/>
      <c r="JB184" s="35"/>
      <c r="JC184" s="35"/>
      <c r="JD184" s="35"/>
      <c r="JE184" s="35"/>
      <c r="JF184" s="35"/>
      <c r="JG184" s="35"/>
      <c r="JH184" s="35"/>
      <c r="JI184" s="35"/>
      <c r="JJ184" s="35"/>
      <c r="JK184" s="35"/>
      <c r="JL184" s="35"/>
      <c r="JM184" s="35"/>
      <c r="JN184" s="35"/>
      <c r="JO184" s="35"/>
      <c r="JP184" s="35"/>
      <c r="JQ184" s="35"/>
      <c r="JR184" s="35"/>
      <c r="JS184" s="35"/>
      <c r="JT184" s="35"/>
      <c r="JU184" s="35"/>
      <c r="JV184" s="35"/>
      <c r="JW184" s="35"/>
      <c r="JX184" s="35"/>
      <c r="JY184" s="35"/>
    </row>
    <row r="185">
      <c r="A185" s="28" t="s">
        <v>395</v>
      </c>
      <c r="B185" s="30"/>
      <c r="C185" s="78"/>
      <c r="D185" s="30"/>
      <c r="E185" s="31"/>
      <c r="F185" s="32"/>
      <c r="G185" s="32"/>
      <c r="H185" s="33"/>
      <c r="I185" s="72"/>
      <c r="J185" s="32"/>
      <c r="K185" s="33"/>
      <c r="L185" s="36" t="b">
        <v>0</v>
      </c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DR185" s="35"/>
      <c r="DS185" s="35"/>
      <c r="DT185" s="35"/>
      <c r="DU185" s="35"/>
      <c r="DV185" s="35"/>
      <c r="DW185" s="35"/>
      <c r="DX185" s="35"/>
      <c r="DY185" s="35"/>
      <c r="DZ185" s="35"/>
      <c r="EA185" s="35"/>
      <c r="EB185" s="35"/>
      <c r="EC185" s="35"/>
      <c r="ED185" s="35"/>
      <c r="EE185" s="35"/>
      <c r="EF185" s="35"/>
      <c r="EG185" s="35"/>
      <c r="EH185" s="35"/>
      <c r="EI185" s="35"/>
      <c r="EJ185" s="35"/>
      <c r="EK185" s="35"/>
      <c r="EL185" s="35"/>
      <c r="EM185" s="35"/>
      <c r="EN185" s="35"/>
      <c r="EO185" s="35"/>
      <c r="EP185" s="35"/>
      <c r="EQ185" s="35"/>
      <c r="ER185" s="35"/>
      <c r="ES185" s="35"/>
      <c r="ET185" s="35"/>
      <c r="EU185" s="35"/>
      <c r="EV185" s="35"/>
      <c r="EW185" s="35"/>
      <c r="EX185" s="35"/>
      <c r="EY185" s="35"/>
      <c r="EZ185" s="35"/>
      <c r="FA185" s="35"/>
      <c r="FB185" s="35"/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  <c r="FM185" s="35"/>
      <c r="FN185" s="35"/>
      <c r="FO185" s="35"/>
      <c r="FP185" s="35"/>
      <c r="FQ185" s="35"/>
      <c r="FR185" s="35"/>
      <c r="FS185" s="35"/>
      <c r="FT185" s="35"/>
      <c r="FU185" s="35"/>
      <c r="FV185" s="35"/>
      <c r="FW185" s="35"/>
      <c r="FX185" s="35"/>
      <c r="FY185" s="35"/>
      <c r="FZ185" s="35"/>
      <c r="GA185" s="35"/>
      <c r="GB185" s="35"/>
      <c r="GC185" s="35"/>
      <c r="GD185" s="35"/>
      <c r="GE185" s="35"/>
      <c r="GF185" s="35"/>
      <c r="GG185" s="35"/>
      <c r="GH185" s="35"/>
      <c r="GI185" s="35"/>
      <c r="GJ185" s="35"/>
      <c r="GK185" s="35"/>
      <c r="GL185" s="35"/>
      <c r="GM185" s="35"/>
      <c r="GN185" s="35"/>
      <c r="GO185" s="35"/>
      <c r="GP185" s="35"/>
      <c r="GQ185" s="35"/>
      <c r="GR185" s="35"/>
      <c r="GS185" s="35"/>
      <c r="GT185" s="35"/>
      <c r="GU185" s="35"/>
      <c r="GV185" s="35"/>
      <c r="GW185" s="35"/>
      <c r="GX185" s="35"/>
      <c r="GY185" s="35"/>
      <c r="GZ185" s="35"/>
      <c r="HA185" s="35"/>
      <c r="HB185" s="35"/>
      <c r="HC185" s="35"/>
      <c r="HD185" s="35"/>
      <c r="HE185" s="35"/>
      <c r="HF185" s="35"/>
      <c r="HG185" s="35"/>
      <c r="HH185" s="35"/>
      <c r="HI185" s="35"/>
      <c r="HJ185" s="35"/>
      <c r="HK185" s="35"/>
      <c r="HL185" s="35"/>
      <c r="HM185" s="35"/>
      <c r="HN185" s="35"/>
      <c r="HO185" s="35"/>
      <c r="HP185" s="35"/>
      <c r="HQ185" s="35"/>
      <c r="HR185" s="35"/>
      <c r="HS185" s="35"/>
      <c r="HT185" s="35"/>
      <c r="HU185" s="35"/>
      <c r="HV185" s="35"/>
      <c r="HW185" s="35"/>
      <c r="HX185" s="35"/>
      <c r="HY185" s="35"/>
      <c r="HZ185" s="35"/>
      <c r="IA185" s="35"/>
      <c r="IB185" s="35"/>
      <c r="IC185" s="35"/>
      <c r="ID185" s="35"/>
      <c r="IE185" s="35"/>
      <c r="IF185" s="35"/>
      <c r="IG185" s="35"/>
      <c r="IH185" s="35"/>
      <c r="II185" s="35"/>
      <c r="IJ185" s="35"/>
      <c r="IK185" s="35"/>
      <c r="IL185" s="35"/>
      <c r="IM185" s="35"/>
      <c r="IN185" s="35"/>
      <c r="IO185" s="35"/>
      <c r="IP185" s="35"/>
      <c r="IQ185" s="35"/>
      <c r="IR185" s="35"/>
      <c r="IS185" s="35"/>
      <c r="IT185" s="35"/>
      <c r="IU185" s="35"/>
      <c r="IV185" s="35"/>
      <c r="IW185" s="35"/>
      <c r="IX185" s="35"/>
      <c r="IY185" s="35"/>
      <c r="IZ185" s="35"/>
      <c r="JA185" s="35"/>
      <c r="JB185" s="35"/>
      <c r="JC185" s="35"/>
      <c r="JD185" s="35"/>
      <c r="JE185" s="35"/>
      <c r="JF185" s="35"/>
      <c r="JG185" s="35"/>
      <c r="JH185" s="35"/>
      <c r="JI185" s="35"/>
      <c r="JJ185" s="35"/>
      <c r="JK185" s="35"/>
      <c r="JL185" s="35"/>
      <c r="JM185" s="35"/>
      <c r="JN185" s="35"/>
      <c r="JO185" s="35"/>
      <c r="JP185" s="35"/>
      <c r="JQ185" s="35"/>
      <c r="JR185" s="35"/>
      <c r="JS185" s="35"/>
      <c r="JT185" s="35"/>
      <c r="JU185" s="35"/>
      <c r="JV185" s="35"/>
      <c r="JW185" s="35"/>
      <c r="JX185" s="35"/>
      <c r="JY185" s="35"/>
    </row>
    <row r="186">
      <c r="A186" s="28" t="s">
        <v>396</v>
      </c>
      <c r="B186" s="30"/>
      <c r="C186" s="78"/>
      <c r="D186" s="30"/>
      <c r="E186" s="31"/>
      <c r="F186" s="32"/>
      <c r="G186" s="32"/>
      <c r="H186" s="33"/>
      <c r="I186" s="72"/>
      <c r="J186" s="32"/>
      <c r="K186" s="33"/>
      <c r="L186" s="36" t="b">
        <v>0</v>
      </c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L186" s="35"/>
      <c r="HM186" s="35"/>
      <c r="HN186" s="35"/>
      <c r="HO186" s="35"/>
      <c r="HP186" s="35"/>
      <c r="HQ186" s="35"/>
      <c r="HR186" s="35"/>
      <c r="HS186" s="35"/>
      <c r="HT186" s="35"/>
      <c r="HU186" s="35"/>
      <c r="HV186" s="35"/>
      <c r="HW186" s="35"/>
      <c r="HX186" s="35"/>
      <c r="HY186" s="35"/>
      <c r="HZ186" s="35"/>
      <c r="IA186" s="35"/>
      <c r="IB186" s="35"/>
      <c r="IC186" s="35"/>
      <c r="ID186" s="35"/>
      <c r="IE186" s="35"/>
      <c r="IF186" s="35"/>
      <c r="IG186" s="35"/>
      <c r="IH186" s="35"/>
      <c r="II186" s="35"/>
      <c r="IJ186" s="35"/>
      <c r="IK186" s="35"/>
      <c r="IL186" s="35"/>
      <c r="IM186" s="35"/>
      <c r="IN186" s="35"/>
      <c r="IO186" s="35"/>
      <c r="IP186" s="35"/>
      <c r="IQ186" s="35"/>
      <c r="IR186" s="35"/>
      <c r="IS186" s="35"/>
      <c r="IT186" s="35"/>
      <c r="IU186" s="35"/>
      <c r="IV186" s="35"/>
      <c r="IW186" s="35"/>
      <c r="IX186" s="35"/>
      <c r="IY186" s="35"/>
      <c r="IZ186" s="35"/>
      <c r="JA186" s="35"/>
      <c r="JB186" s="35"/>
      <c r="JC186" s="35"/>
      <c r="JD186" s="35"/>
      <c r="JE186" s="35"/>
      <c r="JF186" s="35"/>
      <c r="JG186" s="35"/>
      <c r="JH186" s="35"/>
      <c r="JI186" s="35"/>
      <c r="JJ186" s="35"/>
      <c r="JK186" s="35"/>
      <c r="JL186" s="35"/>
      <c r="JM186" s="35"/>
      <c r="JN186" s="35"/>
      <c r="JO186" s="35"/>
      <c r="JP186" s="35"/>
      <c r="JQ186" s="35"/>
      <c r="JR186" s="35"/>
      <c r="JS186" s="35"/>
      <c r="JT186" s="35"/>
      <c r="JU186" s="35"/>
      <c r="JV186" s="35"/>
      <c r="JW186" s="35"/>
      <c r="JX186" s="35"/>
      <c r="JY186" s="35"/>
    </row>
    <row r="187">
      <c r="A187" s="28" t="s">
        <v>397</v>
      </c>
      <c r="B187" s="30"/>
      <c r="C187" s="78"/>
      <c r="D187" s="30"/>
      <c r="E187" s="31"/>
      <c r="F187" s="32"/>
      <c r="G187" s="32"/>
      <c r="H187" s="33"/>
      <c r="I187" s="72"/>
      <c r="J187" s="32"/>
      <c r="K187" s="33"/>
      <c r="L187" s="36" t="b">
        <v>0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35"/>
      <c r="DX187" s="35"/>
      <c r="DY187" s="35"/>
      <c r="DZ187" s="35"/>
      <c r="EA187" s="35"/>
      <c r="EB187" s="35"/>
      <c r="EC187" s="35"/>
      <c r="ED187" s="35"/>
      <c r="EE187" s="35"/>
      <c r="EF187" s="35"/>
      <c r="EG187" s="35"/>
      <c r="EH187" s="35"/>
      <c r="EI187" s="35"/>
      <c r="EJ187" s="35"/>
      <c r="EK187" s="35"/>
      <c r="EL187" s="35"/>
      <c r="EM187" s="35"/>
      <c r="EN187" s="35"/>
      <c r="EO187" s="35"/>
      <c r="EP187" s="35"/>
      <c r="EQ187" s="35"/>
      <c r="ER187" s="35"/>
      <c r="ES187" s="35"/>
      <c r="ET187" s="35"/>
      <c r="EU187" s="35"/>
      <c r="EV187" s="35"/>
      <c r="EW187" s="35"/>
      <c r="EX187" s="35"/>
      <c r="EY187" s="35"/>
      <c r="EZ187" s="35"/>
      <c r="FA187" s="35"/>
      <c r="FB187" s="35"/>
      <c r="FC187" s="35"/>
      <c r="FD187" s="35"/>
      <c r="FE187" s="35"/>
      <c r="FF187" s="35"/>
      <c r="FG187" s="35"/>
      <c r="FH187" s="35"/>
      <c r="FI187" s="35"/>
      <c r="FJ187" s="35"/>
      <c r="FK187" s="35"/>
      <c r="FL187" s="35"/>
      <c r="FM187" s="35"/>
      <c r="FN187" s="35"/>
      <c r="FO187" s="35"/>
      <c r="FP187" s="35"/>
      <c r="FQ187" s="35"/>
      <c r="FR187" s="35"/>
      <c r="FS187" s="35"/>
      <c r="FT187" s="35"/>
      <c r="FU187" s="35"/>
      <c r="FV187" s="35"/>
      <c r="FW187" s="35"/>
      <c r="FX187" s="35"/>
      <c r="FY187" s="35"/>
      <c r="FZ187" s="35"/>
      <c r="GA187" s="35"/>
      <c r="GB187" s="35"/>
      <c r="GC187" s="35"/>
      <c r="GD187" s="35"/>
      <c r="GE187" s="35"/>
      <c r="GF187" s="35"/>
      <c r="GG187" s="35"/>
      <c r="GH187" s="35"/>
      <c r="GI187" s="35"/>
      <c r="GJ187" s="35"/>
      <c r="GK187" s="35"/>
      <c r="GL187" s="35"/>
      <c r="GM187" s="35"/>
      <c r="GN187" s="35"/>
      <c r="GO187" s="35"/>
      <c r="GP187" s="35"/>
      <c r="GQ187" s="35"/>
      <c r="GR187" s="35"/>
      <c r="GS187" s="35"/>
      <c r="GT187" s="35"/>
      <c r="GU187" s="35"/>
      <c r="GV187" s="35"/>
      <c r="GW187" s="35"/>
      <c r="GX187" s="35"/>
      <c r="GY187" s="35"/>
      <c r="GZ187" s="35"/>
      <c r="HA187" s="35"/>
      <c r="HB187" s="35"/>
      <c r="HC187" s="35"/>
      <c r="HD187" s="35"/>
      <c r="HE187" s="35"/>
      <c r="HF187" s="35"/>
      <c r="HG187" s="35"/>
      <c r="HH187" s="35"/>
      <c r="HI187" s="35"/>
      <c r="HJ187" s="35"/>
      <c r="HK187" s="35"/>
      <c r="HL187" s="35"/>
      <c r="HM187" s="35"/>
      <c r="HN187" s="35"/>
      <c r="HO187" s="35"/>
      <c r="HP187" s="35"/>
      <c r="HQ187" s="35"/>
      <c r="HR187" s="35"/>
      <c r="HS187" s="35"/>
      <c r="HT187" s="35"/>
      <c r="HU187" s="35"/>
      <c r="HV187" s="35"/>
      <c r="HW187" s="35"/>
      <c r="HX187" s="35"/>
      <c r="HY187" s="35"/>
      <c r="HZ187" s="35"/>
      <c r="IA187" s="35"/>
      <c r="IB187" s="35"/>
      <c r="IC187" s="35"/>
      <c r="ID187" s="35"/>
      <c r="IE187" s="35"/>
      <c r="IF187" s="35"/>
      <c r="IG187" s="35"/>
      <c r="IH187" s="35"/>
      <c r="II187" s="35"/>
      <c r="IJ187" s="35"/>
      <c r="IK187" s="35"/>
      <c r="IL187" s="35"/>
      <c r="IM187" s="35"/>
      <c r="IN187" s="35"/>
      <c r="IO187" s="35"/>
      <c r="IP187" s="35"/>
      <c r="IQ187" s="35"/>
      <c r="IR187" s="35"/>
      <c r="IS187" s="35"/>
      <c r="IT187" s="35"/>
      <c r="IU187" s="35"/>
      <c r="IV187" s="35"/>
      <c r="IW187" s="35"/>
      <c r="IX187" s="35"/>
      <c r="IY187" s="35"/>
      <c r="IZ187" s="35"/>
      <c r="JA187" s="35"/>
      <c r="JB187" s="35"/>
      <c r="JC187" s="35"/>
      <c r="JD187" s="35"/>
      <c r="JE187" s="35"/>
      <c r="JF187" s="35"/>
      <c r="JG187" s="35"/>
      <c r="JH187" s="35"/>
      <c r="JI187" s="35"/>
      <c r="JJ187" s="35"/>
      <c r="JK187" s="35"/>
      <c r="JL187" s="35"/>
      <c r="JM187" s="35"/>
      <c r="JN187" s="35"/>
      <c r="JO187" s="35"/>
      <c r="JP187" s="35"/>
      <c r="JQ187" s="35"/>
      <c r="JR187" s="35"/>
      <c r="JS187" s="35"/>
      <c r="JT187" s="35"/>
      <c r="JU187" s="35"/>
      <c r="JV187" s="35"/>
      <c r="JW187" s="35"/>
      <c r="JX187" s="35"/>
      <c r="JY187" s="35"/>
    </row>
    <row r="188">
      <c r="A188" s="28" t="s">
        <v>398</v>
      </c>
      <c r="B188" s="30"/>
      <c r="C188" s="78"/>
      <c r="D188" s="30"/>
      <c r="E188" s="31"/>
      <c r="F188" s="32"/>
      <c r="G188" s="32"/>
      <c r="H188" s="33"/>
      <c r="I188" s="72"/>
      <c r="J188" s="32"/>
      <c r="K188" s="33"/>
      <c r="L188" s="36" t="b">
        <v>0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  <c r="EZ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  <c r="FM188" s="35"/>
      <c r="FN188" s="35"/>
      <c r="FO188" s="35"/>
      <c r="FP188" s="35"/>
      <c r="FQ188" s="35"/>
      <c r="FR188" s="35"/>
      <c r="FS188" s="35"/>
      <c r="FT188" s="35"/>
      <c r="FU188" s="35"/>
      <c r="FV188" s="35"/>
      <c r="FW188" s="35"/>
      <c r="FX188" s="35"/>
      <c r="FY188" s="35"/>
      <c r="FZ188" s="35"/>
      <c r="GA188" s="35"/>
      <c r="GB188" s="35"/>
      <c r="GC188" s="35"/>
      <c r="GD188" s="35"/>
      <c r="GE188" s="35"/>
      <c r="GF188" s="35"/>
      <c r="GG188" s="35"/>
      <c r="GH188" s="35"/>
      <c r="GI188" s="35"/>
      <c r="GJ188" s="35"/>
      <c r="GK188" s="35"/>
      <c r="GL188" s="35"/>
      <c r="GM188" s="35"/>
      <c r="GN188" s="35"/>
      <c r="GO188" s="35"/>
      <c r="GP188" s="35"/>
      <c r="GQ188" s="35"/>
      <c r="GR188" s="35"/>
      <c r="GS188" s="35"/>
      <c r="GT188" s="35"/>
      <c r="GU188" s="35"/>
      <c r="GV188" s="35"/>
      <c r="GW188" s="35"/>
      <c r="GX188" s="35"/>
      <c r="GY188" s="35"/>
      <c r="GZ188" s="35"/>
      <c r="HA188" s="35"/>
      <c r="HB188" s="35"/>
      <c r="HC188" s="35"/>
      <c r="HD188" s="35"/>
      <c r="HE188" s="35"/>
      <c r="HF188" s="35"/>
      <c r="HG188" s="35"/>
      <c r="HH188" s="35"/>
      <c r="HI188" s="35"/>
      <c r="HJ188" s="35"/>
      <c r="HK188" s="35"/>
      <c r="HL188" s="35"/>
      <c r="HM188" s="35"/>
      <c r="HN188" s="35"/>
      <c r="HO188" s="35"/>
      <c r="HP188" s="35"/>
      <c r="HQ188" s="35"/>
      <c r="HR188" s="35"/>
      <c r="HS188" s="35"/>
      <c r="HT188" s="35"/>
      <c r="HU188" s="35"/>
      <c r="HV188" s="35"/>
      <c r="HW188" s="35"/>
      <c r="HX188" s="35"/>
      <c r="HY188" s="35"/>
      <c r="HZ188" s="35"/>
      <c r="IA188" s="35"/>
      <c r="IB188" s="35"/>
      <c r="IC188" s="35"/>
      <c r="ID188" s="35"/>
      <c r="IE188" s="35"/>
      <c r="IF188" s="35"/>
      <c r="IG188" s="35"/>
      <c r="IH188" s="35"/>
      <c r="II188" s="35"/>
      <c r="IJ188" s="35"/>
      <c r="IK188" s="35"/>
      <c r="IL188" s="35"/>
      <c r="IM188" s="35"/>
      <c r="IN188" s="35"/>
      <c r="IO188" s="35"/>
      <c r="IP188" s="35"/>
      <c r="IQ188" s="35"/>
      <c r="IR188" s="35"/>
      <c r="IS188" s="35"/>
      <c r="IT188" s="35"/>
      <c r="IU188" s="35"/>
      <c r="IV188" s="35"/>
      <c r="IW188" s="35"/>
      <c r="IX188" s="35"/>
      <c r="IY188" s="35"/>
      <c r="IZ188" s="35"/>
      <c r="JA188" s="35"/>
      <c r="JB188" s="35"/>
      <c r="JC188" s="35"/>
      <c r="JD188" s="35"/>
      <c r="JE188" s="35"/>
      <c r="JF188" s="35"/>
      <c r="JG188" s="35"/>
      <c r="JH188" s="35"/>
      <c r="JI188" s="35"/>
      <c r="JJ188" s="35"/>
      <c r="JK188" s="35"/>
      <c r="JL188" s="35"/>
      <c r="JM188" s="35"/>
      <c r="JN188" s="35"/>
      <c r="JO188" s="35"/>
      <c r="JP188" s="35"/>
      <c r="JQ188" s="35"/>
      <c r="JR188" s="35"/>
      <c r="JS188" s="35"/>
      <c r="JT188" s="35"/>
      <c r="JU188" s="35"/>
      <c r="JV188" s="35"/>
      <c r="JW188" s="35"/>
      <c r="JX188" s="35"/>
      <c r="JY188" s="35"/>
    </row>
    <row r="189">
      <c r="A189" s="28" t="s">
        <v>399</v>
      </c>
      <c r="B189" s="30"/>
      <c r="C189" s="78"/>
      <c r="D189" s="30"/>
      <c r="E189" s="31"/>
      <c r="F189" s="32"/>
      <c r="G189" s="32"/>
      <c r="H189" s="33"/>
      <c r="I189" s="72"/>
      <c r="J189" s="32"/>
      <c r="K189" s="33"/>
      <c r="L189" s="36" t="b">
        <v>0</v>
      </c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35"/>
      <c r="DX189" s="35"/>
      <c r="DY189" s="35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  <c r="ER189" s="35"/>
      <c r="ES189" s="35"/>
      <c r="ET189" s="35"/>
      <c r="EU189" s="35"/>
      <c r="EV189" s="35"/>
      <c r="EW189" s="35"/>
      <c r="EX189" s="35"/>
      <c r="EY189" s="35"/>
      <c r="EZ189" s="35"/>
      <c r="FA189" s="35"/>
      <c r="FB189" s="35"/>
      <c r="FC189" s="35"/>
      <c r="FD189" s="35"/>
      <c r="FE189" s="35"/>
      <c r="FF189" s="35"/>
      <c r="FG189" s="35"/>
      <c r="FH189" s="35"/>
      <c r="FI189" s="35"/>
      <c r="FJ189" s="35"/>
      <c r="FK189" s="35"/>
      <c r="FL189" s="35"/>
      <c r="FM189" s="35"/>
      <c r="FN189" s="35"/>
      <c r="FO189" s="35"/>
      <c r="FP189" s="35"/>
      <c r="FQ189" s="35"/>
      <c r="FR189" s="35"/>
      <c r="FS189" s="35"/>
      <c r="FT189" s="35"/>
      <c r="FU189" s="35"/>
      <c r="FV189" s="35"/>
      <c r="FW189" s="35"/>
      <c r="FX189" s="35"/>
      <c r="FY189" s="35"/>
      <c r="FZ189" s="35"/>
      <c r="GA189" s="35"/>
      <c r="GB189" s="35"/>
      <c r="GC189" s="35"/>
      <c r="GD189" s="35"/>
      <c r="GE189" s="35"/>
      <c r="GF189" s="35"/>
      <c r="GG189" s="35"/>
      <c r="GH189" s="35"/>
      <c r="GI189" s="35"/>
      <c r="GJ189" s="35"/>
      <c r="GK189" s="35"/>
      <c r="GL189" s="35"/>
      <c r="GM189" s="35"/>
      <c r="GN189" s="35"/>
      <c r="GO189" s="35"/>
      <c r="GP189" s="35"/>
      <c r="GQ189" s="35"/>
      <c r="GR189" s="35"/>
      <c r="GS189" s="35"/>
      <c r="GT189" s="35"/>
      <c r="GU189" s="35"/>
      <c r="GV189" s="35"/>
      <c r="GW189" s="35"/>
      <c r="GX189" s="35"/>
      <c r="GY189" s="35"/>
      <c r="GZ189" s="35"/>
      <c r="HA189" s="35"/>
      <c r="HB189" s="35"/>
      <c r="HC189" s="35"/>
      <c r="HD189" s="35"/>
      <c r="HE189" s="35"/>
      <c r="HF189" s="35"/>
      <c r="HG189" s="35"/>
      <c r="HH189" s="35"/>
      <c r="HI189" s="35"/>
      <c r="HJ189" s="35"/>
      <c r="HK189" s="35"/>
      <c r="HL189" s="35"/>
      <c r="HM189" s="35"/>
      <c r="HN189" s="35"/>
      <c r="HO189" s="35"/>
      <c r="HP189" s="35"/>
      <c r="HQ189" s="35"/>
      <c r="HR189" s="35"/>
      <c r="HS189" s="35"/>
      <c r="HT189" s="35"/>
      <c r="HU189" s="35"/>
      <c r="HV189" s="35"/>
      <c r="HW189" s="35"/>
      <c r="HX189" s="35"/>
      <c r="HY189" s="35"/>
      <c r="HZ189" s="35"/>
      <c r="IA189" s="35"/>
      <c r="IB189" s="35"/>
      <c r="IC189" s="35"/>
      <c r="ID189" s="35"/>
      <c r="IE189" s="35"/>
      <c r="IF189" s="35"/>
      <c r="IG189" s="35"/>
      <c r="IH189" s="35"/>
      <c r="II189" s="35"/>
      <c r="IJ189" s="35"/>
      <c r="IK189" s="35"/>
      <c r="IL189" s="35"/>
      <c r="IM189" s="35"/>
      <c r="IN189" s="35"/>
      <c r="IO189" s="35"/>
      <c r="IP189" s="35"/>
      <c r="IQ189" s="35"/>
      <c r="IR189" s="35"/>
      <c r="IS189" s="35"/>
      <c r="IT189" s="35"/>
      <c r="IU189" s="35"/>
      <c r="IV189" s="35"/>
      <c r="IW189" s="35"/>
      <c r="IX189" s="35"/>
      <c r="IY189" s="35"/>
      <c r="IZ189" s="35"/>
      <c r="JA189" s="35"/>
      <c r="JB189" s="35"/>
      <c r="JC189" s="35"/>
      <c r="JD189" s="35"/>
      <c r="JE189" s="35"/>
      <c r="JF189" s="35"/>
      <c r="JG189" s="35"/>
      <c r="JH189" s="35"/>
      <c r="JI189" s="35"/>
      <c r="JJ189" s="35"/>
      <c r="JK189" s="35"/>
      <c r="JL189" s="35"/>
      <c r="JM189" s="35"/>
      <c r="JN189" s="35"/>
      <c r="JO189" s="35"/>
      <c r="JP189" s="35"/>
      <c r="JQ189" s="35"/>
      <c r="JR189" s="35"/>
      <c r="JS189" s="35"/>
      <c r="JT189" s="35"/>
      <c r="JU189" s="35"/>
      <c r="JV189" s="35"/>
      <c r="JW189" s="35"/>
      <c r="JX189" s="35"/>
      <c r="JY189" s="35"/>
    </row>
    <row r="190">
      <c r="A190" s="28" t="s">
        <v>400</v>
      </c>
      <c r="B190" s="30"/>
      <c r="C190" s="78"/>
      <c r="D190" s="30"/>
      <c r="E190" s="31"/>
      <c r="F190" s="32"/>
      <c r="G190" s="32"/>
      <c r="H190" s="33"/>
      <c r="I190" s="72"/>
      <c r="J190" s="32"/>
      <c r="K190" s="33"/>
      <c r="L190" s="36" t="b">
        <v>0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  <c r="EZ190" s="35"/>
      <c r="FA190" s="35"/>
      <c r="FB190" s="35"/>
      <c r="FC190" s="35"/>
      <c r="FD190" s="35"/>
      <c r="FE190" s="35"/>
      <c r="FF190" s="35"/>
      <c r="FG190" s="35"/>
      <c r="FH190" s="35"/>
      <c r="FI190" s="35"/>
      <c r="FJ190" s="35"/>
      <c r="FK190" s="35"/>
      <c r="FL190" s="35"/>
      <c r="FM190" s="35"/>
      <c r="FN190" s="35"/>
      <c r="FO190" s="35"/>
      <c r="FP190" s="35"/>
      <c r="FQ190" s="35"/>
      <c r="FR190" s="35"/>
      <c r="FS190" s="35"/>
      <c r="FT190" s="35"/>
      <c r="FU190" s="35"/>
      <c r="FV190" s="35"/>
      <c r="FW190" s="35"/>
      <c r="FX190" s="35"/>
      <c r="FY190" s="35"/>
      <c r="FZ190" s="35"/>
      <c r="GA190" s="35"/>
      <c r="GB190" s="35"/>
      <c r="GC190" s="35"/>
      <c r="GD190" s="35"/>
      <c r="GE190" s="35"/>
      <c r="GF190" s="35"/>
      <c r="GG190" s="35"/>
      <c r="GH190" s="35"/>
      <c r="GI190" s="35"/>
      <c r="GJ190" s="35"/>
      <c r="GK190" s="35"/>
      <c r="GL190" s="35"/>
      <c r="GM190" s="35"/>
      <c r="GN190" s="35"/>
      <c r="GO190" s="35"/>
      <c r="GP190" s="35"/>
      <c r="GQ190" s="35"/>
      <c r="GR190" s="35"/>
      <c r="GS190" s="35"/>
      <c r="GT190" s="35"/>
      <c r="GU190" s="35"/>
      <c r="GV190" s="35"/>
      <c r="GW190" s="35"/>
      <c r="GX190" s="35"/>
      <c r="GY190" s="35"/>
      <c r="GZ190" s="35"/>
      <c r="HA190" s="35"/>
      <c r="HB190" s="35"/>
      <c r="HC190" s="35"/>
      <c r="HD190" s="35"/>
      <c r="HE190" s="35"/>
      <c r="HF190" s="35"/>
      <c r="HG190" s="35"/>
      <c r="HH190" s="35"/>
      <c r="HI190" s="35"/>
      <c r="HJ190" s="35"/>
      <c r="HK190" s="35"/>
      <c r="HL190" s="35"/>
      <c r="HM190" s="35"/>
      <c r="HN190" s="35"/>
      <c r="HO190" s="35"/>
      <c r="HP190" s="35"/>
      <c r="HQ190" s="35"/>
      <c r="HR190" s="35"/>
      <c r="HS190" s="35"/>
      <c r="HT190" s="35"/>
      <c r="HU190" s="35"/>
      <c r="HV190" s="35"/>
      <c r="HW190" s="35"/>
      <c r="HX190" s="35"/>
      <c r="HY190" s="35"/>
      <c r="HZ190" s="35"/>
      <c r="IA190" s="35"/>
      <c r="IB190" s="35"/>
      <c r="IC190" s="35"/>
      <c r="ID190" s="35"/>
      <c r="IE190" s="35"/>
      <c r="IF190" s="35"/>
      <c r="IG190" s="35"/>
      <c r="IH190" s="35"/>
      <c r="II190" s="35"/>
      <c r="IJ190" s="35"/>
      <c r="IK190" s="35"/>
      <c r="IL190" s="35"/>
      <c r="IM190" s="35"/>
      <c r="IN190" s="35"/>
      <c r="IO190" s="35"/>
      <c r="IP190" s="35"/>
      <c r="IQ190" s="35"/>
      <c r="IR190" s="35"/>
      <c r="IS190" s="35"/>
      <c r="IT190" s="35"/>
      <c r="IU190" s="35"/>
      <c r="IV190" s="35"/>
      <c r="IW190" s="35"/>
      <c r="IX190" s="35"/>
      <c r="IY190" s="35"/>
      <c r="IZ190" s="35"/>
      <c r="JA190" s="35"/>
      <c r="JB190" s="35"/>
      <c r="JC190" s="35"/>
      <c r="JD190" s="35"/>
      <c r="JE190" s="35"/>
      <c r="JF190" s="35"/>
      <c r="JG190" s="35"/>
      <c r="JH190" s="35"/>
      <c r="JI190" s="35"/>
      <c r="JJ190" s="35"/>
      <c r="JK190" s="35"/>
      <c r="JL190" s="35"/>
      <c r="JM190" s="35"/>
      <c r="JN190" s="35"/>
      <c r="JO190" s="35"/>
      <c r="JP190" s="35"/>
      <c r="JQ190" s="35"/>
      <c r="JR190" s="35"/>
      <c r="JS190" s="35"/>
      <c r="JT190" s="35"/>
      <c r="JU190" s="35"/>
      <c r="JV190" s="35"/>
      <c r="JW190" s="35"/>
      <c r="JX190" s="35"/>
      <c r="JY190" s="35"/>
    </row>
    <row r="191">
      <c r="A191" s="28" t="s">
        <v>401</v>
      </c>
      <c r="B191" s="30"/>
      <c r="C191" s="78"/>
      <c r="D191" s="30"/>
      <c r="E191" s="31"/>
      <c r="F191" s="32"/>
      <c r="G191" s="32"/>
      <c r="H191" s="33"/>
      <c r="I191" s="72"/>
      <c r="J191" s="32"/>
      <c r="K191" s="33"/>
      <c r="L191" s="36" t="b">
        <v>0</v>
      </c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  <c r="DR191" s="35"/>
      <c r="DS191" s="35"/>
      <c r="DT191" s="35"/>
      <c r="DU191" s="35"/>
      <c r="DV191" s="35"/>
      <c r="DW191" s="35"/>
      <c r="DX191" s="35"/>
      <c r="DY191" s="35"/>
      <c r="DZ191" s="35"/>
      <c r="EA191" s="35"/>
      <c r="EB191" s="35"/>
      <c r="EC191" s="35"/>
      <c r="ED191" s="35"/>
      <c r="EE191" s="35"/>
      <c r="EF191" s="35"/>
      <c r="EG191" s="35"/>
      <c r="EH191" s="35"/>
      <c r="EI191" s="35"/>
      <c r="EJ191" s="35"/>
      <c r="EK191" s="35"/>
      <c r="EL191" s="35"/>
      <c r="EM191" s="35"/>
      <c r="EN191" s="35"/>
      <c r="EO191" s="35"/>
      <c r="EP191" s="35"/>
      <c r="EQ191" s="35"/>
      <c r="ER191" s="35"/>
      <c r="ES191" s="35"/>
      <c r="ET191" s="35"/>
      <c r="EU191" s="35"/>
      <c r="EV191" s="35"/>
      <c r="EW191" s="35"/>
      <c r="EX191" s="35"/>
      <c r="EY191" s="35"/>
      <c r="EZ191" s="35"/>
      <c r="FA191" s="35"/>
      <c r="FB191" s="35"/>
      <c r="FC191" s="35"/>
      <c r="FD191" s="35"/>
      <c r="FE191" s="35"/>
      <c r="FF191" s="35"/>
      <c r="FG191" s="35"/>
      <c r="FH191" s="35"/>
      <c r="FI191" s="35"/>
      <c r="FJ191" s="35"/>
      <c r="FK191" s="35"/>
      <c r="FL191" s="35"/>
      <c r="FM191" s="35"/>
      <c r="FN191" s="35"/>
      <c r="FO191" s="35"/>
      <c r="FP191" s="35"/>
      <c r="FQ191" s="35"/>
      <c r="FR191" s="35"/>
      <c r="FS191" s="35"/>
      <c r="FT191" s="35"/>
      <c r="FU191" s="35"/>
      <c r="FV191" s="35"/>
      <c r="FW191" s="35"/>
      <c r="FX191" s="35"/>
      <c r="FY191" s="35"/>
      <c r="FZ191" s="35"/>
      <c r="GA191" s="35"/>
      <c r="GB191" s="35"/>
      <c r="GC191" s="35"/>
      <c r="GD191" s="35"/>
      <c r="GE191" s="35"/>
      <c r="GF191" s="35"/>
      <c r="GG191" s="35"/>
      <c r="GH191" s="35"/>
      <c r="GI191" s="35"/>
      <c r="GJ191" s="35"/>
      <c r="GK191" s="35"/>
      <c r="GL191" s="35"/>
      <c r="GM191" s="35"/>
      <c r="GN191" s="35"/>
      <c r="GO191" s="35"/>
      <c r="GP191" s="35"/>
      <c r="GQ191" s="35"/>
      <c r="GR191" s="35"/>
      <c r="GS191" s="35"/>
      <c r="GT191" s="35"/>
      <c r="GU191" s="35"/>
      <c r="GV191" s="35"/>
      <c r="GW191" s="35"/>
      <c r="GX191" s="35"/>
      <c r="GY191" s="35"/>
      <c r="GZ191" s="35"/>
      <c r="HA191" s="35"/>
      <c r="HB191" s="35"/>
      <c r="HC191" s="35"/>
      <c r="HD191" s="35"/>
      <c r="HE191" s="35"/>
      <c r="HF191" s="35"/>
      <c r="HG191" s="35"/>
      <c r="HH191" s="35"/>
      <c r="HI191" s="35"/>
      <c r="HJ191" s="35"/>
      <c r="HK191" s="35"/>
      <c r="HL191" s="35"/>
      <c r="HM191" s="35"/>
      <c r="HN191" s="35"/>
      <c r="HO191" s="35"/>
      <c r="HP191" s="35"/>
      <c r="HQ191" s="35"/>
      <c r="HR191" s="35"/>
      <c r="HS191" s="35"/>
      <c r="HT191" s="35"/>
      <c r="HU191" s="35"/>
      <c r="HV191" s="35"/>
      <c r="HW191" s="35"/>
      <c r="HX191" s="35"/>
      <c r="HY191" s="35"/>
      <c r="HZ191" s="35"/>
      <c r="IA191" s="35"/>
      <c r="IB191" s="35"/>
      <c r="IC191" s="35"/>
      <c r="ID191" s="35"/>
      <c r="IE191" s="35"/>
      <c r="IF191" s="35"/>
      <c r="IG191" s="35"/>
      <c r="IH191" s="35"/>
      <c r="II191" s="35"/>
      <c r="IJ191" s="35"/>
      <c r="IK191" s="35"/>
      <c r="IL191" s="35"/>
      <c r="IM191" s="35"/>
      <c r="IN191" s="35"/>
      <c r="IO191" s="35"/>
      <c r="IP191" s="35"/>
      <c r="IQ191" s="35"/>
      <c r="IR191" s="35"/>
      <c r="IS191" s="35"/>
      <c r="IT191" s="35"/>
      <c r="IU191" s="35"/>
      <c r="IV191" s="35"/>
      <c r="IW191" s="35"/>
      <c r="IX191" s="35"/>
      <c r="IY191" s="35"/>
      <c r="IZ191" s="35"/>
      <c r="JA191" s="35"/>
      <c r="JB191" s="35"/>
      <c r="JC191" s="35"/>
      <c r="JD191" s="35"/>
      <c r="JE191" s="35"/>
      <c r="JF191" s="35"/>
      <c r="JG191" s="35"/>
      <c r="JH191" s="35"/>
      <c r="JI191" s="35"/>
      <c r="JJ191" s="35"/>
      <c r="JK191" s="35"/>
      <c r="JL191" s="35"/>
      <c r="JM191" s="35"/>
      <c r="JN191" s="35"/>
      <c r="JO191" s="35"/>
      <c r="JP191" s="35"/>
      <c r="JQ191" s="35"/>
      <c r="JR191" s="35"/>
      <c r="JS191" s="35"/>
      <c r="JT191" s="35"/>
      <c r="JU191" s="35"/>
      <c r="JV191" s="35"/>
      <c r="JW191" s="35"/>
      <c r="JX191" s="35"/>
      <c r="JY191" s="35"/>
    </row>
    <row r="192">
      <c r="A192" s="28" t="s">
        <v>402</v>
      </c>
      <c r="B192" s="30"/>
      <c r="C192" s="78"/>
      <c r="D192" s="30"/>
      <c r="E192" s="31"/>
      <c r="F192" s="32"/>
      <c r="G192" s="32"/>
      <c r="H192" s="33"/>
      <c r="I192" s="72"/>
      <c r="J192" s="32"/>
      <c r="K192" s="33"/>
      <c r="L192" s="36" t="b">
        <v>0</v>
      </c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  <c r="DR192" s="35"/>
      <c r="DS192" s="35"/>
      <c r="DT192" s="35"/>
      <c r="DU192" s="35"/>
      <c r="DV192" s="35"/>
      <c r="DW192" s="35"/>
      <c r="DX192" s="35"/>
      <c r="DY192" s="35"/>
      <c r="DZ192" s="35"/>
      <c r="EA192" s="35"/>
      <c r="EB192" s="35"/>
      <c r="EC192" s="35"/>
      <c r="ED192" s="35"/>
      <c r="EE192" s="35"/>
      <c r="EF192" s="35"/>
      <c r="EG192" s="35"/>
      <c r="EH192" s="35"/>
      <c r="EI192" s="35"/>
      <c r="EJ192" s="35"/>
      <c r="EK192" s="35"/>
      <c r="EL192" s="35"/>
      <c r="EM192" s="35"/>
      <c r="EN192" s="35"/>
      <c r="EO192" s="35"/>
      <c r="EP192" s="35"/>
      <c r="EQ192" s="35"/>
      <c r="ER192" s="35"/>
      <c r="ES192" s="35"/>
      <c r="ET192" s="35"/>
      <c r="EU192" s="35"/>
      <c r="EV192" s="35"/>
      <c r="EW192" s="35"/>
      <c r="EX192" s="35"/>
      <c r="EY192" s="35"/>
      <c r="EZ192" s="35"/>
      <c r="FA192" s="35"/>
      <c r="FB192" s="35"/>
      <c r="FC192" s="35"/>
      <c r="FD192" s="35"/>
      <c r="FE192" s="35"/>
      <c r="FF192" s="35"/>
      <c r="FG192" s="35"/>
      <c r="FH192" s="35"/>
      <c r="FI192" s="35"/>
      <c r="FJ192" s="35"/>
      <c r="FK192" s="35"/>
      <c r="FL192" s="35"/>
      <c r="FM192" s="35"/>
      <c r="FN192" s="35"/>
      <c r="FO192" s="35"/>
      <c r="FP192" s="35"/>
      <c r="FQ192" s="35"/>
      <c r="FR192" s="35"/>
      <c r="FS192" s="35"/>
      <c r="FT192" s="35"/>
      <c r="FU192" s="35"/>
      <c r="FV192" s="35"/>
      <c r="FW192" s="35"/>
      <c r="FX192" s="35"/>
      <c r="FY192" s="35"/>
      <c r="FZ192" s="35"/>
      <c r="GA192" s="35"/>
      <c r="GB192" s="35"/>
      <c r="GC192" s="35"/>
      <c r="GD192" s="35"/>
      <c r="GE192" s="35"/>
      <c r="GF192" s="35"/>
      <c r="GG192" s="35"/>
      <c r="GH192" s="35"/>
      <c r="GI192" s="35"/>
      <c r="GJ192" s="35"/>
      <c r="GK192" s="35"/>
      <c r="GL192" s="35"/>
      <c r="GM192" s="35"/>
      <c r="GN192" s="35"/>
      <c r="GO192" s="35"/>
      <c r="GP192" s="35"/>
      <c r="GQ192" s="35"/>
      <c r="GR192" s="35"/>
      <c r="GS192" s="35"/>
      <c r="GT192" s="35"/>
      <c r="GU192" s="35"/>
      <c r="GV192" s="35"/>
      <c r="GW192" s="35"/>
      <c r="GX192" s="35"/>
      <c r="GY192" s="35"/>
      <c r="GZ192" s="35"/>
      <c r="HA192" s="35"/>
      <c r="HB192" s="35"/>
      <c r="HC192" s="35"/>
      <c r="HD192" s="35"/>
      <c r="HE192" s="35"/>
      <c r="HF192" s="35"/>
      <c r="HG192" s="35"/>
      <c r="HH192" s="35"/>
      <c r="HI192" s="35"/>
      <c r="HJ192" s="35"/>
      <c r="HK192" s="35"/>
      <c r="HL192" s="35"/>
      <c r="HM192" s="35"/>
      <c r="HN192" s="35"/>
      <c r="HO192" s="35"/>
      <c r="HP192" s="35"/>
      <c r="HQ192" s="35"/>
      <c r="HR192" s="35"/>
      <c r="HS192" s="35"/>
      <c r="HT192" s="35"/>
      <c r="HU192" s="35"/>
      <c r="HV192" s="35"/>
      <c r="HW192" s="35"/>
      <c r="HX192" s="35"/>
      <c r="HY192" s="35"/>
      <c r="HZ192" s="35"/>
      <c r="IA192" s="35"/>
      <c r="IB192" s="35"/>
      <c r="IC192" s="35"/>
      <c r="ID192" s="35"/>
      <c r="IE192" s="35"/>
      <c r="IF192" s="35"/>
      <c r="IG192" s="35"/>
      <c r="IH192" s="35"/>
      <c r="II192" s="35"/>
      <c r="IJ192" s="35"/>
      <c r="IK192" s="35"/>
      <c r="IL192" s="35"/>
      <c r="IM192" s="35"/>
      <c r="IN192" s="35"/>
      <c r="IO192" s="35"/>
      <c r="IP192" s="35"/>
      <c r="IQ192" s="35"/>
      <c r="IR192" s="35"/>
      <c r="IS192" s="35"/>
      <c r="IT192" s="35"/>
      <c r="IU192" s="35"/>
      <c r="IV192" s="35"/>
      <c r="IW192" s="35"/>
      <c r="IX192" s="35"/>
      <c r="IY192" s="35"/>
      <c r="IZ192" s="35"/>
      <c r="JA192" s="35"/>
      <c r="JB192" s="35"/>
      <c r="JC192" s="35"/>
      <c r="JD192" s="35"/>
      <c r="JE192" s="35"/>
      <c r="JF192" s="35"/>
      <c r="JG192" s="35"/>
      <c r="JH192" s="35"/>
      <c r="JI192" s="35"/>
      <c r="JJ192" s="35"/>
      <c r="JK192" s="35"/>
      <c r="JL192" s="35"/>
      <c r="JM192" s="35"/>
      <c r="JN192" s="35"/>
      <c r="JO192" s="35"/>
      <c r="JP192" s="35"/>
      <c r="JQ192" s="35"/>
      <c r="JR192" s="35"/>
      <c r="JS192" s="35"/>
      <c r="JT192" s="35"/>
      <c r="JU192" s="35"/>
      <c r="JV192" s="35"/>
      <c r="JW192" s="35"/>
      <c r="JX192" s="35"/>
      <c r="JY192" s="35"/>
    </row>
    <row r="193">
      <c r="A193" s="28" t="s">
        <v>403</v>
      </c>
      <c r="B193" s="30"/>
      <c r="C193" s="78"/>
      <c r="D193" s="30"/>
      <c r="E193" s="31"/>
      <c r="F193" s="32"/>
      <c r="G193" s="32"/>
      <c r="H193" s="33"/>
      <c r="I193" s="72"/>
      <c r="J193" s="32"/>
      <c r="K193" s="33"/>
      <c r="L193" s="36" t="b">
        <v>0</v>
      </c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35"/>
      <c r="DX193" s="35"/>
      <c r="DY193" s="35"/>
      <c r="DZ193" s="35"/>
      <c r="EA193" s="35"/>
      <c r="EB193" s="35"/>
      <c r="EC193" s="35"/>
      <c r="ED193" s="35"/>
      <c r="EE193" s="35"/>
      <c r="EF193" s="35"/>
      <c r="EG193" s="35"/>
      <c r="EH193" s="35"/>
      <c r="EI193" s="35"/>
      <c r="EJ193" s="35"/>
      <c r="EK193" s="35"/>
      <c r="EL193" s="35"/>
      <c r="EM193" s="35"/>
      <c r="EN193" s="35"/>
      <c r="EO193" s="35"/>
      <c r="EP193" s="35"/>
      <c r="EQ193" s="35"/>
      <c r="ER193" s="35"/>
      <c r="ES193" s="35"/>
      <c r="ET193" s="35"/>
      <c r="EU193" s="35"/>
      <c r="EV193" s="35"/>
      <c r="EW193" s="35"/>
      <c r="EX193" s="35"/>
      <c r="EY193" s="35"/>
      <c r="EZ193" s="35"/>
      <c r="FA193" s="35"/>
      <c r="FB193" s="35"/>
      <c r="FC193" s="35"/>
      <c r="FD193" s="35"/>
      <c r="FE193" s="35"/>
      <c r="FF193" s="35"/>
      <c r="FG193" s="35"/>
      <c r="FH193" s="35"/>
      <c r="FI193" s="35"/>
      <c r="FJ193" s="35"/>
      <c r="FK193" s="35"/>
      <c r="FL193" s="35"/>
      <c r="FM193" s="35"/>
      <c r="FN193" s="35"/>
      <c r="FO193" s="35"/>
      <c r="FP193" s="35"/>
      <c r="FQ193" s="35"/>
      <c r="FR193" s="35"/>
      <c r="FS193" s="35"/>
      <c r="FT193" s="35"/>
      <c r="FU193" s="35"/>
      <c r="FV193" s="35"/>
      <c r="FW193" s="35"/>
      <c r="FX193" s="35"/>
      <c r="FY193" s="35"/>
      <c r="FZ193" s="35"/>
      <c r="GA193" s="35"/>
      <c r="GB193" s="35"/>
      <c r="GC193" s="35"/>
      <c r="GD193" s="35"/>
      <c r="GE193" s="35"/>
      <c r="GF193" s="35"/>
      <c r="GG193" s="35"/>
      <c r="GH193" s="35"/>
      <c r="GI193" s="35"/>
      <c r="GJ193" s="35"/>
      <c r="GK193" s="35"/>
      <c r="GL193" s="35"/>
      <c r="GM193" s="35"/>
      <c r="GN193" s="35"/>
      <c r="GO193" s="35"/>
      <c r="GP193" s="35"/>
      <c r="GQ193" s="35"/>
      <c r="GR193" s="35"/>
      <c r="GS193" s="35"/>
      <c r="GT193" s="35"/>
      <c r="GU193" s="35"/>
      <c r="GV193" s="35"/>
      <c r="GW193" s="35"/>
      <c r="GX193" s="35"/>
      <c r="GY193" s="35"/>
      <c r="GZ193" s="35"/>
      <c r="HA193" s="35"/>
      <c r="HB193" s="35"/>
      <c r="HC193" s="35"/>
      <c r="HD193" s="35"/>
      <c r="HE193" s="35"/>
      <c r="HF193" s="35"/>
      <c r="HG193" s="35"/>
      <c r="HH193" s="35"/>
      <c r="HI193" s="35"/>
      <c r="HJ193" s="35"/>
      <c r="HK193" s="35"/>
      <c r="HL193" s="35"/>
      <c r="HM193" s="35"/>
      <c r="HN193" s="35"/>
      <c r="HO193" s="35"/>
      <c r="HP193" s="35"/>
      <c r="HQ193" s="35"/>
      <c r="HR193" s="35"/>
      <c r="HS193" s="35"/>
      <c r="HT193" s="35"/>
      <c r="HU193" s="35"/>
      <c r="HV193" s="35"/>
      <c r="HW193" s="35"/>
      <c r="HX193" s="35"/>
      <c r="HY193" s="35"/>
      <c r="HZ193" s="35"/>
      <c r="IA193" s="35"/>
      <c r="IB193" s="35"/>
      <c r="IC193" s="35"/>
      <c r="ID193" s="35"/>
      <c r="IE193" s="35"/>
      <c r="IF193" s="35"/>
      <c r="IG193" s="35"/>
      <c r="IH193" s="35"/>
      <c r="II193" s="35"/>
      <c r="IJ193" s="35"/>
      <c r="IK193" s="35"/>
      <c r="IL193" s="35"/>
      <c r="IM193" s="35"/>
      <c r="IN193" s="35"/>
      <c r="IO193" s="35"/>
      <c r="IP193" s="35"/>
      <c r="IQ193" s="35"/>
      <c r="IR193" s="35"/>
      <c r="IS193" s="35"/>
      <c r="IT193" s="35"/>
      <c r="IU193" s="35"/>
      <c r="IV193" s="35"/>
      <c r="IW193" s="35"/>
      <c r="IX193" s="35"/>
      <c r="IY193" s="35"/>
      <c r="IZ193" s="35"/>
      <c r="JA193" s="35"/>
      <c r="JB193" s="35"/>
      <c r="JC193" s="35"/>
      <c r="JD193" s="35"/>
      <c r="JE193" s="35"/>
      <c r="JF193" s="35"/>
      <c r="JG193" s="35"/>
      <c r="JH193" s="35"/>
      <c r="JI193" s="35"/>
      <c r="JJ193" s="35"/>
      <c r="JK193" s="35"/>
      <c r="JL193" s="35"/>
      <c r="JM193" s="35"/>
      <c r="JN193" s="35"/>
      <c r="JO193" s="35"/>
      <c r="JP193" s="35"/>
      <c r="JQ193" s="35"/>
      <c r="JR193" s="35"/>
      <c r="JS193" s="35"/>
      <c r="JT193" s="35"/>
      <c r="JU193" s="35"/>
      <c r="JV193" s="35"/>
      <c r="JW193" s="35"/>
      <c r="JX193" s="35"/>
      <c r="JY193" s="35"/>
    </row>
    <row r="194">
      <c r="A194" s="28" t="s">
        <v>404</v>
      </c>
      <c r="B194" s="30"/>
      <c r="C194" s="78"/>
      <c r="D194" s="30"/>
      <c r="E194" s="31"/>
      <c r="F194" s="32"/>
      <c r="G194" s="32"/>
      <c r="H194" s="33"/>
      <c r="I194" s="72"/>
      <c r="J194" s="32"/>
      <c r="K194" s="33"/>
      <c r="L194" s="36" t="b">
        <v>0</v>
      </c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  <c r="ER194" s="35"/>
      <c r="ES194" s="35"/>
      <c r="ET194" s="35"/>
      <c r="EU194" s="35"/>
      <c r="EV194" s="35"/>
      <c r="EW194" s="35"/>
      <c r="EX194" s="35"/>
      <c r="EY194" s="35"/>
      <c r="EZ194" s="35"/>
      <c r="FA194" s="35"/>
      <c r="FB194" s="35"/>
      <c r="FC194" s="35"/>
      <c r="FD194" s="35"/>
      <c r="FE194" s="35"/>
      <c r="FF194" s="35"/>
      <c r="FG194" s="35"/>
      <c r="FH194" s="35"/>
      <c r="FI194" s="35"/>
      <c r="FJ194" s="35"/>
      <c r="FK194" s="35"/>
      <c r="FL194" s="35"/>
      <c r="FM194" s="35"/>
      <c r="FN194" s="35"/>
      <c r="FO194" s="35"/>
      <c r="FP194" s="35"/>
      <c r="FQ194" s="35"/>
      <c r="FR194" s="35"/>
      <c r="FS194" s="35"/>
      <c r="FT194" s="35"/>
      <c r="FU194" s="35"/>
      <c r="FV194" s="35"/>
      <c r="FW194" s="35"/>
      <c r="FX194" s="35"/>
      <c r="FY194" s="35"/>
      <c r="FZ194" s="35"/>
      <c r="GA194" s="35"/>
      <c r="GB194" s="35"/>
      <c r="GC194" s="35"/>
      <c r="GD194" s="35"/>
      <c r="GE194" s="35"/>
      <c r="GF194" s="35"/>
      <c r="GG194" s="35"/>
      <c r="GH194" s="35"/>
      <c r="GI194" s="35"/>
      <c r="GJ194" s="35"/>
      <c r="GK194" s="35"/>
      <c r="GL194" s="35"/>
      <c r="GM194" s="35"/>
      <c r="GN194" s="35"/>
      <c r="GO194" s="35"/>
      <c r="GP194" s="35"/>
      <c r="GQ194" s="35"/>
      <c r="GR194" s="35"/>
      <c r="GS194" s="35"/>
      <c r="GT194" s="35"/>
      <c r="GU194" s="35"/>
      <c r="GV194" s="35"/>
      <c r="GW194" s="35"/>
      <c r="GX194" s="35"/>
      <c r="GY194" s="35"/>
      <c r="GZ194" s="35"/>
      <c r="HA194" s="35"/>
      <c r="HB194" s="35"/>
      <c r="HC194" s="35"/>
      <c r="HD194" s="35"/>
      <c r="HE194" s="35"/>
      <c r="HF194" s="35"/>
      <c r="HG194" s="35"/>
      <c r="HH194" s="35"/>
      <c r="HI194" s="35"/>
      <c r="HJ194" s="35"/>
      <c r="HK194" s="35"/>
      <c r="HL194" s="35"/>
      <c r="HM194" s="35"/>
      <c r="HN194" s="35"/>
      <c r="HO194" s="35"/>
      <c r="HP194" s="35"/>
      <c r="HQ194" s="35"/>
      <c r="HR194" s="35"/>
      <c r="HS194" s="35"/>
      <c r="HT194" s="35"/>
      <c r="HU194" s="35"/>
      <c r="HV194" s="35"/>
      <c r="HW194" s="35"/>
      <c r="HX194" s="35"/>
      <c r="HY194" s="35"/>
      <c r="HZ194" s="35"/>
      <c r="IA194" s="35"/>
      <c r="IB194" s="35"/>
      <c r="IC194" s="35"/>
      <c r="ID194" s="35"/>
      <c r="IE194" s="35"/>
      <c r="IF194" s="35"/>
      <c r="IG194" s="35"/>
      <c r="IH194" s="35"/>
      <c r="II194" s="35"/>
      <c r="IJ194" s="35"/>
      <c r="IK194" s="35"/>
      <c r="IL194" s="35"/>
      <c r="IM194" s="35"/>
      <c r="IN194" s="35"/>
      <c r="IO194" s="35"/>
      <c r="IP194" s="35"/>
      <c r="IQ194" s="35"/>
      <c r="IR194" s="35"/>
      <c r="IS194" s="35"/>
      <c r="IT194" s="35"/>
      <c r="IU194" s="35"/>
      <c r="IV194" s="35"/>
      <c r="IW194" s="35"/>
      <c r="IX194" s="35"/>
      <c r="IY194" s="35"/>
      <c r="IZ194" s="35"/>
      <c r="JA194" s="35"/>
      <c r="JB194" s="35"/>
      <c r="JC194" s="35"/>
      <c r="JD194" s="35"/>
      <c r="JE194" s="35"/>
      <c r="JF194" s="35"/>
      <c r="JG194" s="35"/>
      <c r="JH194" s="35"/>
      <c r="JI194" s="35"/>
      <c r="JJ194" s="35"/>
      <c r="JK194" s="35"/>
      <c r="JL194" s="35"/>
      <c r="JM194" s="35"/>
      <c r="JN194" s="35"/>
      <c r="JO194" s="35"/>
      <c r="JP194" s="35"/>
      <c r="JQ194" s="35"/>
      <c r="JR194" s="35"/>
      <c r="JS194" s="35"/>
      <c r="JT194" s="35"/>
      <c r="JU194" s="35"/>
      <c r="JV194" s="35"/>
      <c r="JW194" s="35"/>
      <c r="JX194" s="35"/>
      <c r="JY194" s="35"/>
    </row>
    <row r="195">
      <c r="A195" s="28" t="s">
        <v>405</v>
      </c>
      <c r="B195" s="30"/>
      <c r="C195" s="78"/>
      <c r="D195" s="30"/>
      <c r="E195" s="31"/>
      <c r="F195" s="32"/>
      <c r="G195" s="32"/>
      <c r="H195" s="33"/>
      <c r="I195" s="72"/>
      <c r="J195" s="32"/>
      <c r="K195" s="33"/>
      <c r="L195" s="36" t="b">
        <v>0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35"/>
      <c r="DX195" s="35"/>
      <c r="DY195" s="35"/>
      <c r="DZ195" s="35"/>
      <c r="EA195" s="35"/>
      <c r="EB195" s="35"/>
      <c r="EC195" s="35"/>
      <c r="ED195" s="35"/>
      <c r="EE195" s="35"/>
      <c r="EF195" s="35"/>
      <c r="EG195" s="35"/>
      <c r="EH195" s="35"/>
      <c r="EI195" s="35"/>
      <c r="EJ195" s="35"/>
      <c r="EK195" s="35"/>
      <c r="EL195" s="35"/>
      <c r="EM195" s="35"/>
      <c r="EN195" s="35"/>
      <c r="EO195" s="35"/>
      <c r="EP195" s="35"/>
      <c r="EQ195" s="35"/>
      <c r="ER195" s="35"/>
      <c r="ES195" s="35"/>
      <c r="ET195" s="35"/>
      <c r="EU195" s="35"/>
      <c r="EV195" s="35"/>
      <c r="EW195" s="35"/>
      <c r="EX195" s="35"/>
      <c r="EY195" s="35"/>
      <c r="EZ195" s="35"/>
      <c r="FA195" s="35"/>
      <c r="FB195" s="35"/>
      <c r="FC195" s="35"/>
      <c r="FD195" s="35"/>
      <c r="FE195" s="35"/>
      <c r="FF195" s="35"/>
      <c r="FG195" s="35"/>
      <c r="FH195" s="35"/>
      <c r="FI195" s="35"/>
      <c r="FJ195" s="35"/>
      <c r="FK195" s="35"/>
      <c r="FL195" s="35"/>
      <c r="FM195" s="35"/>
      <c r="FN195" s="35"/>
      <c r="FO195" s="35"/>
      <c r="FP195" s="35"/>
      <c r="FQ195" s="35"/>
      <c r="FR195" s="35"/>
      <c r="FS195" s="35"/>
      <c r="FT195" s="35"/>
      <c r="FU195" s="35"/>
      <c r="FV195" s="35"/>
      <c r="FW195" s="35"/>
      <c r="FX195" s="35"/>
      <c r="FY195" s="35"/>
      <c r="FZ195" s="35"/>
      <c r="GA195" s="35"/>
      <c r="GB195" s="35"/>
      <c r="GC195" s="35"/>
      <c r="GD195" s="35"/>
      <c r="GE195" s="35"/>
      <c r="GF195" s="35"/>
      <c r="GG195" s="35"/>
      <c r="GH195" s="35"/>
      <c r="GI195" s="35"/>
      <c r="GJ195" s="35"/>
      <c r="GK195" s="35"/>
      <c r="GL195" s="35"/>
      <c r="GM195" s="35"/>
      <c r="GN195" s="35"/>
      <c r="GO195" s="35"/>
      <c r="GP195" s="35"/>
      <c r="GQ195" s="35"/>
      <c r="GR195" s="35"/>
      <c r="GS195" s="35"/>
      <c r="GT195" s="35"/>
      <c r="GU195" s="35"/>
      <c r="GV195" s="35"/>
      <c r="GW195" s="35"/>
      <c r="GX195" s="35"/>
      <c r="GY195" s="35"/>
      <c r="GZ195" s="35"/>
      <c r="HA195" s="35"/>
      <c r="HB195" s="35"/>
      <c r="HC195" s="35"/>
      <c r="HD195" s="35"/>
      <c r="HE195" s="35"/>
      <c r="HF195" s="35"/>
      <c r="HG195" s="35"/>
      <c r="HH195" s="35"/>
      <c r="HI195" s="35"/>
      <c r="HJ195" s="35"/>
      <c r="HK195" s="35"/>
      <c r="HL195" s="35"/>
      <c r="HM195" s="35"/>
      <c r="HN195" s="35"/>
      <c r="HO195" s="35"/>
      <c r="HP195" s="35"/>
      <c r="HQ195" s="35"/>
      <c r="HR195" s="35"/>
      <c r="HS195" s="35"/>
      <c r="HT195" s="35"/>
      <c r="HU195" s="35"/>
      <c r="HV195" s="35"/>
      <c r="HW195" s="35"/>
      <c r="HX195" s="35"/>
      <c r="HY195" s="35"/>
      <c r="HZ195" s="35"/>
      <c r="IA195" s="35"/>
      <c r="IB195" s="35"/>
      <c r="IC195" s="35"/>
      <c r="ID195" s="35"/>
      <c r="IE195" s="35"/>
      <c r="IF195" s="35"/>
      <c r="IG195" s="35"/>
      <c r="IH195" s="35"/>
      <c r="II195" s="35"/>
      <c r="IJ195" s="35"/>
      <c r="IK195" s="35"/>
      <c r="IL195" s="35"/>
      <c r="IM195" s="35"/>
      <c r="IN195" s="35"/>
      <c r="IO195" s="35"/>
      <c r="IP195" s="35"/>
      <c r="IQ195" s="35"/>
      <c r="IR195" s="35"/>
      <c r="IS195" s="35"/>
      <c r="IT195" s="35"/>
      <c r="IU195" s="35"/>
      <c r="IV195" s="35"/>
      <c r="IW195" s="35"/>
      <c r="IX195" s="35"/>
      <c r="IY195" s="35"/>
      <c r="IZ195" s="35"/>
      <c r="JA195" s="35"/>
      <c r="JB195" s="35"/>
      <c r="JC195" s="35"/>
      <c r="JD195" s="35"/>
      <c r="JE195" s="35"/>
      <c r="JF195" s="35"/>
      <c r="JG195" s="35"/>
      <c r="JH195" s="35"/>
      <c r="JI195" s="35"/>
      <c r="JJ195" s="35"/>
      <c r="JK195" s="35"/>
      <c r="JL195" s="35"/>
      <c r="JM195" s="35"/>
      <c r="JN195" s="35"/>
      <c r="JO195" s="35"/>
      <c r="JP195" s="35"/>
      <c r="JQ195" s="35"/>
      <c r="JR195" s="35"/>
      <c r="JS195" s="35"/>
      <c r="JT195" s="35"/>
      <c r="JU195" s="35"/>
      <c r="JV195" s="35"/>
      <c r="JW195" s="35"/>
      <c r="JX195" s="35"/>
      <c r="JY195" s="35"/>
    </row>
    <row r="196">
      <c r="A196" s="28" t="s">
        <v>406</v>
      </c>
      <c r="B196" s="30"/>
      <c r="C196" s="78"/>
      <c r="D196" s="30"/>
      <c r="E196" s="31"/>
      <c r="F196" s="32"/>
      <c r="G196" s="32"/>
      <c r="H196" s="33"/>
      <c r="I196" s="72"/>
      <c r="J196" s="32"/>
      <c r="K196" s="33"/>
      <c r="L196" s="36" t="b">
        <v>0</v>
      </c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35"/>
      <c r="DX196" s="35"/>
      <c r="DY196" s="35"/>
      <c r="DZ196" s="35"/>
      <c r="EA196" s="35"/>
      <c r="EB196" s="35"/>
      <c r="EC196" s="35"/>
      <c r="ED196" s="35"/>
      <c r="EE196" s="35"/>
      <c r="EF196" s="35"/>
      <c r="EG196" s="35"/>
      <c r="EH196" s="35"/>
      <c r="EI196" s="35"/>
      <c r="EJ196" s="35"/>
      <c r="EK196" s="35"/>
      <c r="EL196" s="35"/>
      <c r="EM196" s="35"/>
      <c r="EN196" s="35"/>
      <c r="EO196" s="35"/>
      <c r="EP196" s="35"/>
      <c r="EQ196" s="35"/>
      <c r="ER196" s="35"/>
      <c r="ES196" s="35"/>
      <c r="ET196" s="35"/>
      <c r="EU196" s="35"/>
      <c r="EV196" s="35"/>
      <c r="EW196" s="35"/>
      <c r="EX196" s="35"/>
      <c r="EY196" s="35"/>
      <c r="EZ196" s="35"/>
      <c r="FA196" s="35"/>
      <c r="FB196" s="35"/>
      <c r="FC196" s="35"/>
      <c r="FD196" s="35"/>
      <c r="FE196" s="35"/>
      <c r="FF196" s="35"/>
      <c r="FG196" s="35"/>
      <c r="FH196" s="35"/>
      <c r="FI196" s="35"/>
      <c r="FJ196" s="35"/>
      <c r="FK196" s="35"/>
      <c r="FL196" s="35"/>
      <c r="FM196" s="35"/>
      <c r="FN196" s="35"/>
      <c r="FO196" s="35"/>
      <c r="FP196" s="35"/>
      <c r="FQ196" s="35"/>
      <c r="FR196" s="35"/>
      <c r="FS196" s="35"/>
      <c r="FT196" s="35"/>
      <c r="FU196" s="35"/>
      <c r="FV196" s="35"/>
      <c r="FW196" s="35"/>
      <c r="FX196" s="35"/>
      <c r="FY196" s="35"/>
      <c r="FZ196" s="35"/>
      <c r="GA196" s="35"/>
      <c r="GB196" s="35"/>
      <c r="GC196" s="35"/>
      <c r="GD196" s="35"/>
      <c r="GE196" s="35"/>
      <c r="GF196" s="35"/>
      <c r="GG196" s="35"/>
      <c r="GH196" s="35"/>
      <c r="GI196" s="35"/>
      <c r="GJ196" s="35"/>
      <c r="GK196" s="35"/>
      <c r="GL196" s="35"/>
      <c r="GM196" s="35"/>
      <c r="GN196" s="35"/>
      <c r="GO196" s="35"/>
      <c r="GP196" s="35"/>
      <c r="GQ196" s="35"/>
      <c r="GR196" s="35"/>
      <c r="GS196" s="35"/>
      <c r="GT196" s="35"/>
      <c r="GU196" s="35"/>
      <c r="GV196" s="35"/>
      <c r="GW196" s="35"/>
      <c r="GX196" s="35"/>
      <c r="GY196" s="35"/>
      <c r="GZ196" s="35"/>
      <c r="HA196" s="35"/>
      <c r="HB196" s="35"/>
      <c r="HC196" s="35"/>
      <c r="HD196" s="35"/>
      <c r="HE196" s="35"/>
      <c r="HF196" s="35"/>
      <c r="HG196" s="35"/>
      <c r="HH196" s="35"/>
      <c r="HI196" s="35"/>
      <c r="HJ196" s="35"/>
      <c r="HK196" s="35"/>
      <c r="HL196" s="35"/>
      <c r="HM196" s="35"/>
      <c r="HN196" s="35"/>
      <c r="HO196" s="35"/>
      <c r="HP196" s="35"/>
      <c r="HQ196" s="35"/>
      <c r="HR196" s="35"/>
      <c r="HS196" s="35"/>
      <c r="HT196" s="35"/>
      <c r="HU196" s="35"/>
      <c r="HV196" s="35"/>
      <c r="HW196" s="35"/>
      <c r="HX196" s="35"/>
      <c r="HY196" s="35"/>
      <c r="HZ196" s="35"/>
      <c r="IA196" s="35"/>
      <c r="IB196" s="35"/>
      <c r="IC196" s="35"/>
      <c r="ID196" s="35"/>
      <c r="IE196" s="35"/>
      <c r="IF196" s="35"/>
      <c r="IG196" s="35"/>
      <c r="IH196" s="35"/>
      <c r="II196" s="35"/>
      <c r="IJ196" s="35"/>
      <c r="IK196" s="35"/>
      <c r="IL196" s="35"/>
      <c r="IM196" s="35"/>
      <c r="IN196" s="35"/>
      <c r="IO196" s="35"/>
      <c r="IP196" s="35"/>
      <c r="IQ196" s="35"/>
      <c r="IR196" s="35"/>
      <c r="IS196" s="35"/>
      <c r="IT196" s="35"/>
      <c r="IU196" s="35"/>
      <c r="IV196" s="35"/>
      <c r="IW196" s="35"/>
      <c r="IX196" s="35"/>
      <c r="IY196" s="35"/>
      <c r="IZ196" s="35"/>
      <c r="JA196" s="35"/>
      <c r="JB196" s="35"/>
      <c r="JC196" s="35"/>
      <c r="JD196" s="35"/>
      <c r="JE196" s="35"/>
      <c r="JF196" s="35"/>
      <c r="JG196" s="35"/>
      <c r="JH196" s="35"/>
      <c r="JI196" s="35"/>
      <c r="JJ196" s="35"/>
      <c r="JK196" s="35"/>
      <c r="JL196" s="35"/>
      <c r="JM196" s="35"/>
      <c r="JN196" s="35"/>
      <c r="JO196" s="35"/>
      <c r="JP196" s="35"/>
      <c r="JQ196" s="35"/>
      <c r="JR196" s="35"/>
      <c r="JS196" s="35"/>
      <c r="JT196" s="35"/>
      <c r="JU196" s="35"/>
      <c r="JV196" s="35"/>
      <c r="JW196" s="35"/>
      <c r="JX196" s="35"/>
      <c r="JY196" s="35"/>
    </row>
    <row r="197">
      <c r="A197" s="28" t="s">
        <v>407</v>
      </c>
      <c r="B197" s="30"/>
      <c r="C197" s="78"/>
      <c r="D197" s="30"/>
      <c r="E197" s="31"/>
      <c r="F197" s="32"/>
      <c r="G197" s="32"/>
      <c r="H197" s="33"/>
      <c r="I197" s="72"/>
      <c r="J197" s="32"/>
      <c r="K197" s="33"/>
      <c r="L197" s="36" t="b">
        <v>0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35"/>
      <c r="DX197" s="35"/>
      <c r="DY197" s="35"/>
      <c r="DZ197" s="35"/>
      <c r="EA197" s="35"/>
      <c r="EB197" s="35"/>
      <c r="EC197" s="35"/>
      <c r="ED197" s="35"/>
      <c r="EE197" s="35"/>
      <c r="EF197" s="35"/>
      <c r="EG197" s="35"/>
      <c r="EH197" s="35"/>
      <c r="EI197" s="35"/>
      <c r="EJ197" s="35"/>
      <c r="EK197" s="35"/>
      <c r="EL197" s="35"/>
      <c r="EM197" s="35"/>
      <c r="EN197" s="35"/>
      <c r="EO197" s="35"/>
      <c r="EP197" s="35"/>
      <c r="EQ197" s="35"/>
      <c r="ER197" s="35"/>
      <c r="ES197" s="35"/>
      <c r="ET197" s="35"/>
      <c r="EU197" s="35"/>
      <c r="EV197" s="35"/>
      <c r="EW197" s="35"/>
      <c r="EX197" s="35"/>
      <c r="EY197" s="35"/>
      <c r="EZ197" s="35"/>
      <c r="FA197" s="35"/>
      <c r="FB197" s="35"/>
      <c r="FC197" s="35"/>
      <c r="FD197" s="35"/>
      <c r="FE197" s="35"/>
      <c r="FF197" s="35"/>
      <c r="FG197" s="35"/>
      <c r="FH197" s="35"/>
      <c r="FI197" s="35"/>
      <c r="FJ197" s="35"/>
      <c r="FK197" s="35"/>
      <c r="FL197" s="35"/>
      <c r="FM197" s="35"/>
      <c r="FN197" s="35"/>
      <c r="FO197" s="35"/>
      <c r="FP197" s="35"/>
      <c r="FQ197" s="35"/>
      <c r="FR197" s="35"/>
      <c r="FS197" s="35"/>
      <c r="FT197" s="35"/>
      <c r="FU197" s="35"/>
      <c r="FV197" s="35"/>
      <c r="FW197" s="35"/>
      <c r="FX197" s="35"/>
      <c r="FY197" s="35"/>
      <c r="FZ197" s="35"/>
      <c r="GA197" s="35"/>
      <c r="GB197" s="35"/>
      <c r="GC197" s="35"/>
      <c r="GD197" s="35"/>
      <c r="GE197" s="35"/>
      <c r="GF197" s="35"/>
      <c r="GG197" s="35"/>
      <c r="GH197" s="35"/>
      <c r="GI197" s="35"/>
      <c r="GJ197" s="35"/>
      <c r="GK197" s="35"/>
      <c r="GL197" s="35"/>
      <c r="GM197" s="35"/>
      <c r="GN197" s="35"/>
      <c r="GO197" s="35"/>
      <c r="GP197" s="35"/>
      <c r="GQ197" s="35"/>
      <c r="GR197" s="35"/>
      <c r="GS197" s="35"/>
      <c r="GT197" s="35"/>
      <c r="GU197" s="35"/>
      <c r="GV197" s="35"/>
      <c r="GW197" s="35"/>
      <c r="GX197" s="35"/>
      <c r="GY197" s="35"/>
      <c r="GZ197" s="35"/>
      <c r="HA197" s="35"/>
      <c r="HB197" s="35"/>
      <c r="HC197" s="35"/>
      <c r="HD197" s="35"/>
      <c r="HE197" s="35"/>
      <c r="HF197" s="35"/>
      <c r="HG197" s="35"/>
      <c r="HH197" s="35"/>
      <c r="HI197" s="35"/>
      <c r="HJ197" s="35"/>
      <c r="HK197" s="35"/>
      <c r="HL197" s="35"/>
      <c r="HM197" s="35"/>
      <c r="HN197" s="35"/>
      <c r="HO197" s="35"/>
      <c r="HP197" s="35"/>
      <c r="HQ197" s="35"/>
      <c r="HR197" s="35"/>
      <c r="HS197" s="35"/>
      <c r="HT197" s="35"/>
      <c r="HU197" s="35"/>
      <c r="HV197" s="35"/>
      <c r="HW197" s="35"/>
      <c r="HX197" s="35"/>
      <c r="HY197" s="35"/>
      <c r="HZ197" s="35"/>
      <c r="IA197" s="35"/>
      <c r="IB197" s="35"/>
      <c r="IC197" s="35"/>
      <c r="ID197" s="35"/>
      <c r="IE197" s="35"/>
      <c r="IF197" s="35"/>
      <c r="IG197" s="35"/>
      <c r="IH197" s="35"/>
      <c r="II197" s="35"/>
      <c r="IJ197" s="35"/>
      <c r="IK197" s="35"/>
      <c r="IL197" s="35"/>
      <c r="IM197" s="35"/>
      <c r="IN197" s="35"/>
      <c r="IO197" s="35"/>
      <c r="IP197" s="35"/>
      <c r="IQ197" s="35"/>
      <c r="IR197" s="35"/>
      <c r="IS197" s="35"/>
      <c r="IT197" s="35"/>
      <c r="IU197" s="35"/>
      <c r="IV197" s="35"/>
      <c r="IW197" s="35"/>
      <c r="IX197" s="35"/>
      <c r="IY197" s="35"/>
      <c r="IZ197" s="35"/>
      <c r="JA197" s="35"/>
      <c r="JB197" s="35"/>
      <c r="JC197" s="35"/>
      <c r="JD197" s="35"/>
      <c r="JE197" s="35"/>
      <c r="JF197" s="35"/>
      <c r="JG197" s="35"/>
      <c r="JH197" s="35"/>
      <c r="JI197" s="35"/>
      <c r="JJ197" s="35"/>
      <c r="JK197" s="35"/>
      <c r="JL197" s="35"/>
      <c r="JM197" s="35"/>
      <c r="JN197" s="35"/>
      <c r="JO197" s="35"/>
      <c r="JP197" s="35"/>
      <c r="JQ197" s="35"/>
      <c r="JR197" s="35"/>
      <c r="JS197" s="35"/>
      <c r="JT197" s="35"/>
      <c r="JU197" s="35"/>
      <c r="JV197" s="35"/>
      <c r="JW197" s="35"/>
      <c r="JX197" s="35"/>
      <c r="JY197" s="35"/>
    </row>
    <row r="198">
      <c r="A198" s="28" t="s">
        <v>408</v>
      </c>
      <c r="B198" s="30"/>
      <c r="C198" s="78"/>
      <c r="D198" s="30"/>
      <c r="E198" s="31"/>
      <c r="F198" s="32"/>
      <c r="G198" s="32"/>
      <c r="H198" s="33"/>
      <c r="I198" s="72"/>
      <c r="J198" s="32"/>
      <c r="K198" s="33"/>
      <c r="L198" s="36" t="b">
        <v>0</v>
      </c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  <c r="EZ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  <c r="FS198" s="35"/>
      <c r="FT198" s="35"/>
      <c r="FU198" s="35"/>
      <c r="FV198" s="35"/>
      <c r="FW198" s="35"/>
      <c r="FX198" s="35"/>
      <c r="FY198" s="35"/>
      <c r="FZ198" s="35"/>
      <c r="GA198" s="35"/>
      <c r="GB198" s="35"/>
      <c r="GC198" s="35"/>
      <c r="GD198" s="35"/>
      <c r="GE198" s="35"/>
      <c r="GF198" s="35"/>
      <c r="GG198" s="35"/>
      <c r="GH198" s="35"/>
      <c r="GI198" s="35"/>
      <c r="GJ198" s="35"/>
      <c r="GK198" s="35"/>
      <c r="GL198" s="35"/>
      <c r="GM198" s="35"/>
      <c r="GN198" s="35"/>
      <c r="GO198" s="35"/>
      <c r="GP198" s="35"/>
      <c r="GQ198" s="35"/>
      <c r="GR198" s="35"/>
      <c r="GS198" s="35"/>
      <c r="GT198" s="35"/>
      <c r="GU198" s="35"/>
      <c r="GV198" s="35"/>
      <c r="GW198" s="35"/>
      <c r="GX198" s="35"/>
      <c r="GY198" s="35"/>
      <c r="GZ198" s="35"/>
      <c r="HA198" s="35"/>
      <c r="HB198" s="35"/>
      <c r="HC198" s="35"/>
      <c r="HD198" s="35"/>
      <c r="HE198" s="35"/>
      <c r="HF198" s="35"/>
      <c r="HG198" s="35"/>
      <c r="HH198" s="35"/>
      <c r="HI198" s="35"/>
      <c r="HJ198" s="35"/>
      <c r="HK198" s="35"/>
      <c r="HL198" s="35"/>
      <c r="HM198" s="35"/>
      <c r="HN198" s="35"/>
      <c r="HO198" s="35"/>
      <c r="HP198" s="35"/>
      <c r="HQ198" s="35"/>
      <c r="HR198" s="35"/>
      <c r="HS198" s="35"/>
      <c r="HT198" s="35"/>
      <c r="HU198" s="35"/>
      <c r="HV198" s="35"/>
      <c r="HW198" s="35"/>
      <c r="HX198" s="35"/>
      <c r="HY198" s="35"/>
      <c r="HZ198" s="35"/>
      <c r="IA198" s="35"/>
      <c r="IB198" s="35"/>
      <c r="IC198" s="35"/>
      <c r="ID198" s="35"/>
      <c r="IE198" s="35"/>
      <c r="IF198" s="35"/>
      <c r="IG198" s="35"/>
      <c r="IH198" s="35"/>
      <c r="II198" s="35"/>
      <c r="IJ198" s="35"/>
      <c r="IK198" s="35"/>
      <c r="IL198" s="35"/>
      <c r="IM198" s="35"/>
      <c r="IN198" s="35"/>
      <c r="IO198" s="35"/>
      <c r="IP198" s="35"/>
      <c r="IQ198" s="35"/>
      <c r="IR198" s="35"/>
      <c r="IS198" s="35"/>
      <c r="IT198" s="35"/>
      <c r="IU198" s="35"/>
      <c r="IV198" s="35"/>
      <c r="IW198" s="35"/>
      <c r="IX198" s="35"/>
      <c r="IY198" s="35"/>
      <c r="IZ198" s="35"/>
      <c r="JA198" s="35"/>
      <c r="JB198" s="35"/>
      <c r="JC198" s="35"/>
      <c r="JD198" s="35"/>
      <c r="JE198" s="35"/>
      <c r="JF198" s="35"/>
      <c r="JG198" s="35"/>
      <c r="JH198" s="35"/>
      <c r="JI198" s="35"/>
      <c r="JJ198" s="35"/>
      <c r="JK198" s="35"/>
      <c r="JL198" s="35"/>
      <c r="JM198" s="35"/>
      <c r="JN198" s="35"/>
      <c r="JO198" s="35"/>
      <c r="JP198" s="35"/>
      <c r="JQ198" s="35"/>
      <c r="JR198" s="35"/>
      <c r="JS198" s="35"/>
      <c r="JT198" s="35"/>
      <c r="JU198" s="35"/>
      <c r="JV198" s="35"/>
      <c r="JW198" s="35"/>
      <c r="JX198" s="35"/>
      <c r="JY198" s="35"/>
    </row>
    <row r="199">
      <c r="A199" s="28" t="s">
        <v>409</v>
      </c>
      <c r="B199" s="30"/>
      <c r="C199" s="78"/>
      <c r="D199" s="30"/>
      <c r="E199" s="31"/>
      <c r="F199" s="32"/>
      <c r="G199" s="32"/>
      <c r="H199" s="33"/>
      <c r="I199" s="72"/>
      <c r="J199" s="32"/>
      <c r="K199" s="33"/>
      <c r="L199" s="36" t="b">
        <v>0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V199" s="35"/>
      <c r="EW199" s="35"/>
      <c r="EX199" s="35"/>
      <c r="EY199" s="35"/>
      <c r="EZ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FK199" s="35"/>
      <c r="FL199" s="35"/>
      <c r="FM199" s="35"/>
      <c r="FN199" s="35"/>
      <c r="FO199" s="35"/>
      <c r="FP199" s="35"/>
      <c r="FQ199" s="35"/>
      <c r="FR199" s="35"/>
      <c r="FS199" s="35"/>
      <c r="FT199" s="35"/>
      <c r="FU199" s="35"/>
      <c r="FV199" s="35"/>
      <c r="FW199" s="35"/>
      <c r="FX199" s="35"/>
      <c r="FY199" s="35"/>
      <c r="FZ199" s="35"/>
      <c r="GA199" s="35"/>
      <c r="GB199" s="35"/>
      <c r="GC199" s="35"/>
      <c r="GD199" s="35"/>
      <c r="GE199" s="35"/>
      <c r="GF199" s="35"/>
      <c r="GG199" s="35"/>
      <c r="GH199" s="35"/>
      <c r="GI199" s="35"/>
      <c r="GJ199" s="35"/>
      <c r="GK199" s="35"/>
      <c r="GL199" s="35"/>
      <c r="GM199" s="35"/>
      <c r="GN199" s="35"/>
      <c r="GO199" s="35"/>
      <c r="GP199" s="35"/>
      <c r="GQ199" s="35"/>
      <c r="GR199" s="35"/>
      <c r="GS199" s="35"/>
      <c r="GT199" s="35"/>
      <c r="GU199" s="35"/>
      <c r="GV199" s="35"/>
      <c r="GW199" s="35"/>
      <c r="GX199" s="35"/>
      <c r="GY199" s="35"/>
      <c r="GZ199" s="35"/>
      <c r="HA199" s="35"/>
      <c r="HB199" s="35"/>
      <c r="HC199" s="35"/>
      <c r="HD199" s="35"/>
      <c r="HE199" s="35"/>
      <c r="HF199" s="35"/>
      <c r="HG199" s="35"/>
      <c r="HH199" s="35"/>
      <c r="HI199" s="35"/>
      <c r="HJ199" s="35"/>
      <c r="HK199" s="35"/>
      <c r="HL199" s="35"/>
      <c r="HM199" s="35"/>
      <c r="HN199" s="35"/>
      <c r="HO199" s="35"/>
      <c r="HP199" s="35"/>
      <c r="HQ199" s="35"/>
      <c r="HR199" s="35"/>
      <c r="HS199" s="35"/>
      <c r="HT199" s="35"/>
      <c r="HU199" s="35"/>
      <c r="HV199" s="35"/>
      <c r="HW199" s="35"/>
      <c r="HX199" s="35"/>
      <c r="HY199" s="35"/>
      <c r="HZ199" s="35"/>
      <c r="IA199" s="35"/>
      <c r="IB199" s="35"/>
      <c r="IC199" s="35"/>
      <c r="ID199" s="35"/>
      <c r="IE199" s="35"/>
      <c r="IF199" s="35"/>
      <c r="IG199" s="35"/>
      <c r="IH199" s="35"/>
      <c r="II199" s="35"/>
      <c r="IJ199" s="35"/>
      <c r="IK199" s="35"/>
      <c r="IL199" s="35"/>
      <c r="IM199" s="35"/>
      <c r="IN199" s="35"/>
      <c r="IO199" s="35"/>
      <c r="IP199" s="35"/>
      <c r="IQ199" s="35"/>
      <c r="IR199" s="35"/>
      <c r="IS199" s="35"/>
      <c r="IT199" s="35"/>
      <c r="IU199" s="35"/>
      <c r="IV199" s="35"/>
      <c r="IW199" s="35"/>
      <c r="IX199" s="35"/>
      <c r="IY199" s="35"/>
      <c r="IZ199" s="35"/>
      <c r="JA199" s="35"/>
      <c r="JB199" s="35"/>
      <c r="JC199" s="35"/>
      <c r="JD199" s="35"/>
      <c r="JE199" s="35"/>
      <c r="JF199" s="35"/>
      <c r="JG199" s="35"/>
      <c r="JH199" s="35"/>
      <c r="JI199" s="35"/>
      <c r="JJ199" s="35"/>
      <c r="JK199" s="35"/>
      <c r="JL199" s="35"/>
      <c r="JM199" s="35"/>
      <c r="JN199" s="35"/>
      <c r="JO199" s="35"/>
      <c r="JP199" s="35"/>
      <c r="JQ199" s="35"/>
      <c r="JR199" s="35"/>
      <c r="JS199" s="35"/>
      <c r="JT199" s="35"/>
      <c r="JU199" s="35"/>
      <c r="JV199" s="35"/>
      <c r="JW199" s="35"/>
      <c r="JX199" s="35"/>
      <c r="JY199" s="35"/>
    </row>
    <row r="200">
      <c r="A200" s="28" t="s">
        <v>410</v>
      </c>
      <c r="B200" s="30"/>
      <c r="C200" s="78"/>
      <c r="D200" s="30"/>
      <c r="E200" s="31"/>
      <c r="F200" s="32"/>
      <c r="G200" s="32"/>
      <c r="H200" s="33"/>
      <c r="I200" s="72"/>
      <c r="J200" s="32"/>
      <c r="K200" s="33"/>
      <c r="L200" s="36" t="b">
        <v>0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  <c r="EZ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  <c r="FS200" s="35"/>
      <c r="FT200" s="35"/>
      <c r="FU200" s="35"/>
      <c r="FV200" s="35"/>
      <c r="FW200" s="35"/>
      <c r="FX200" s="35"/>
      <c r="FY200" s="35"/>
      <c r="FZ200" s="35"/>
      <c r="GA200" s="35"/>
      <c r="GB200" s="35"/>
      <c r="GC200" s="35"/>
      <c r="GD200" s="35"/>
      <c r="GE200" s="35"/>
      <c r="GF200" s="35"/>
      <c r="GG200" s="35"/>
      <c r="GH200" s="35"/>
      <c r="GI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  <c r="GY200" s="35"/>
      <c r="GZ200" s="35"/>
      <c r="HA200" s="35"/>
      <c r="HB200" s="35"/>
      <c r="HC200" s="35"/>
      <c r="HD200" s="35"/>
      <c r="HE200" s="35"/>
      <c r="HF200" s="35"/>
      <c r="HG200" s="35"/>
      <c r="HH200" s="35"/>
      <c r="HI200" s="35"/>
      <c r="HJ200" s="35"/>
      <c r="HK200" s="35"/>
      <c r="HL200" s="35"/>
      <c r="HM200" s="35"/>
      <c r="HN200" s="35"/>
      <c r="HO200" s="35"/>
      <c r="HP200" s="35"/>
      <c r="HQ200" s="35"/>
      <c r="HR200" s="35"/>
      <c r="HS200" s="35"/>
      <c r="HT200" s="35"/>
      <c r="HU200" s="35"/>
      <c r="HV200" s="35"/>
      <c r="HW200" s="35"/>
      <c r="HX200" s="35"/>
      <c r="HY200" s="35"/>
      <c r="HZ200" s="35"/>
      <c r="IA200" s="35"/>
      <c r="IB200" s="35"/>
      <c r="IC200" s="35"/>
      <c r="ID200" s="35"/>
      <c r="IE200" s="35"/>
      <c r="IF200" s="35"/>
      <c r="IG200" s="35"/>
      <c r="IH200" s="35"/>
      <c r="II200" s="35"/>
      <c r="IJ200" s="35"/>
      <c r="IK200" s="35"/>
      <c r="IL200" s="35"/>
      <c r="IM200" s="35"/>
      <c r="IN200" s="35"/>
      <c r="IO200" s="35"/>
      <c r="IP200" s="35"/>
      <c r="IQ200" s="35"/>
      <c r="IR200" s="35"/>
      <c r="IS200" s="35"/>
      <c r="IT200" s="35"/>
      <c r="IU200" s="35"/>
      <c r="IV200" s="35"/>
      <c r="IW200" s="35"/>
      <c r="IX200" s="35"/>
      <c r="IY200" s="35"/>
      <c r="IZ200" s="35"/>
      <c r="JA200" s="35"/>
      <c r="JB200" s="35"/>
      <c r="JC200" s="35"/>
      <c r="JD200" s="35"/>
      <c r="JE200" s="35"/>
      <c r="JF200" s="35"/>
      <c r="JG200" s="35"/>
      <c r="JH200" s="35"/>
      <c r="JI200" s="35"/>
      <c r="JJ200" s="35"/>
      <c r="JK200" s="35"/>
      <c r="JL200" s="35"/>
      <c r="JM200" s="35"/>
      <c r="JN200" s="35"/>
      <c r="JO200" s="35"/>
      <c r="JP200" s="35"/>
      <c r="JQ200" s="35"/>
      <c r="JR200" s="35"/>
      <c r="JS200" s="35"/>
      <c r="JT200" s="35"/>
      <c r="JU200" s="35"/>
      <c r="JV200" s="35"/>
      <c r="JW200" s="35"/>
      <c r="JX200" s="35"/>
      <c r="JY200" s="35"/>
    </row>
    <row r="201">
      <c r="A201" s="28" t="s">
        <v>411</v>
      </c>
      <c r="B201" s="30"/>
      <c r="C201" s="78"/>
      <c r="D201" s="30"/>
      <c r="E201" s="31"/>
      <c r="F201" s="32"/>
      <c r="G201" s="32"/>
      <c r="H201" s="33"/>
      <c r="I201" s="72"/>
      <c r="J201" s="32"/>
      <c r="K201" s="33"/>
      <c r="L201" s="36" t="b">
        <v>0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DR201" s="35"/>
      <c r="DS201" s="35"/>
      <c r="DT201" s="35"/>
      <c r="DU201" s="35"/>
      <c r="DV201" s="35"/>
      <c r="DW201" s="35"/>
      <c r="DX201" s="35"/>
      <c r="DY201" s="35"/>
      <c r="DZ201" s="35"/>
      <c r="EA201" s="35"/>
      <c r="EB201" s="35"/>
      <c r="EC201" s="35"/>
      <c r="ED201" s="35"/>
      <c r="EE201" s="35"/>
      <c r="EF201" s="35"/>
      <c r="EG201" s="35"/>
      <c r="EH201" s="35"/>
      <c r="EI201" s="35"/>
      <c r="EJ201" s="35"/>
      <c r="EK201" s="35"/>
      <c r="EL201" s="35"/>
      <c r="EM201" s="35"/>
      <c r="EN201" s="35"/>
      <c r="EO201" s="35"/>
      <c r="EP201" s="35"/>
      <c r="EQ201" s="35"/>
      <c r="ER201" s="35"/>
      <c r="ES201" s="35"/>
      <c r="ET201" s="35"/>
      <c r="EU201" s="35"/>
      <c r="EV201" s="35"/>
      <c r="EW201" s="35"/>
      <c r="EX201" s="35"/>
      <c r="EY201" s="35"/>
      <c r="EZ201" s="35"/>
      <c r="FA201" s="35"/>
      <c r="FB201" s="35"/>
      <c r="FC201" s="35"/>
      <c r="FD201" s="35"/>
      <c r="FE201" s="35"/>
      <c r="FF201" s="35"/>
      <c r="FG201" s="35"/>
      <c r="FH201" s="35"/>
      <c r="FI201" s="35"/>
      <c r="FJ201" s="35"/>
      <c r="FK201" s="35"/>
      <c r="FL201" s="35"/>
      <c r="FM201" s="35"/>
      <c r="FN201" s="35"/>
      <c r="FO201" s="35"/>
      <c r="FP201" s="35"/>
      <c r="FQ201" s="35"/>
      <c r="FR201" s="35"/>
      <c r="FS201" s="35"/>
      <c r="FT201" s="35"/>
      <c r="FU201" s="35"/>
      <c r="FV201" s="35"/>
      <c r="FW201" s="35"/>
      <c r="FX201" s="35"/>
      <c r="FY201" s="35"/>
      <c r="FZ201" s="35"/>
      <c r="GA201" s="35"/>
      <c r="GB201" s="35"/>
      <c r="GC201" s="35"/>
      <c r="GD201" s="35"/>
      <c r="GE201" s="35"/>
      <c r="GF201" s="35"/>
      <c r="GG201" s="35"/>
      <c r="GH201" s="35"/>
      <c r="GI201" s="35"/>
      <c r="GJ201" s="35"/>
      <c r="GK201" s="35"/>
      <c r="GL201" s="35"/>
      <c r="GM201" s="35"/>
      <c r="GN201" s="35"/>
      <c r="GO201" s="35"/>
      <c r="GP201" s="35"/>
      <c r="GQ201" s="35"/>
      <c r="GR201" s="35"/>
      <c r="GS201" s="35"/>
      <c r="GT201" s="35"/>
      <c r="GU201" s="35"/>
      <c r="GV201" s="35"/>
      <c r="GW201" s="35"/>
      <c r="GX201" s="35"/>
      <c r="GY201" s="35"/>
      <c r="GZ201" s="35"/>
      <c r="HA201" s="35"/>
      <c r="HB201" s="35"/>
      <c r="HC201" s="35"/>
      <c r="HD201" s="35"/>
      <c r="HE201" s="35"/>
      <c r="HF201" s="35"/>
      <c r="HG201" s="35"/>
      <c r="HH201" s="35"/>
      <c r="HI201" s="35"/>
      <c r="HJ201" s="35"/>
      <c r="HK201" s="35"/>
      <c r="HL201" s="35"/>
      <c r="HM201" s="35"/>
      <c r="HN201" s="35"/>
      <c r="HO201" s="35"/>
      <c r="HP201" s="35"/>
      <c r="HQ201" s="35"/>
      <c r="HR201" s="35"/>
      <c r="HS201" s="35"/>
      <c r="HT201" s="35"/>
      <c r="HU201" s="35"/>
      <c r="HV201" s="35"/>
      <c r="HW201" s="35"/>
      <c r="HX201" s="35"/>
      <c r="HY201" s="35"/>
      <c r="HZ201" s="35"/>
      <c r="IA201" s="35"/>
      <c r="IB201" s="35"/>
      <c r="IC201" s="35"/>
      <c r="ID201" s="35"/>
      <c r="IE201" s="35"/>
      <c r="IF201" s="35"/>
      <c r="IG201" s="35"/>
      <c r="IH201" s="35"/>
      <c r="II201" s="35"/>
      <c r="IJ201" s="35"/>
      <c r="IK201" s="35"/>
      <c r="IL201" s="35"/>
      <c r="IM201" s="35"/>
      <c r="IN201" s="35"/>
      <c r="IO201" s="35"/>
      <c r="IP201" s="35"/>
      <c r="IQ201" s="35"/>
      <c r="IR201" s="35"/>
      <c r="IS201" s="35"/>
      <c r="IT201" s="35"/>
      <c r="IU201" s="35"/>
      <c r="IV201" s="35"/>
      <c r="IW201" s="35"/>
      <c r="IX201" s="35"/>
      <c r="IY201" s="35"/>
      <c r="IZ201" s="35"/>
      <c r="JA201" s="35"/>
      <c r="JB201" s="35"/>
      <c r="JC201" s="35"/>
      <c r="JD201" s="35"/>
      <c r="JE201" s="35"/>
      <c r="JF201" s="35"/>
      <c r="JG201" s="35"/>
      <c r="JH201" s="35"/>
      <c r="JI201" s="35"/>
      <c r="JJ201" s="35"/>
      <c r="JK201" s="35"/>
      <c r="JL201" s="35"/>
      <c r="JM201" s="35"/>
      <c r="JN201" s="35"/>
      <c r="JO201" s="35"/>
      <c r="JP201" s="35"/>
      <c r="JQ201" s="35"/>
      <c r="JR201" s="35"/>
      <c r="JS201" s="35"/>
      <c r="JT201" s="35"/>
      <c r="JU201" s="35"/>
      <c r="JV201" s="35"/>
      <c r="JW201" s="35"/>
      <c r="JX201" s="35"/>
      <c r="JY201" s="35"/>
    </row>
    <row r="202">
      <c r="A202" s="28" t="s">
        <v>412</v>
      </c>
      <c r="B202" s="30"/>
      <c r="C202" s="78"/>
      <c r="D202" s="30"/>
      <c r="E202" s="31"/>
      <c r="F202" s="32"/>
      <c r="G202" s="32"/>
      <c r="H202" s="33"/>
      <c r="I202" s="72"/>
      <c r="J202" s="32"/>
      <c r="K202" s="33"/>
      <c r="L202" s="36" t="b">
        <v>0</v>
      </c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  <c r="ER202" s="35"/>
      <c r="ES202" s="35"/>
      <c r="ET202" s="35"/>
      <c r="EU202" s="35"/>
      <c r="EV202" s="35"/>
      <c r="EW202" s="35"/>
      <c r="EX202" s="35"/>
      <c r="EY202" s="35"/>
      <c r="EZ202" s="35"/>
      <c r="FA202" s="35"/>
      <c r="FB202" s="35"/>
      <c r="FC202" s="35"/>
      <c r="FD202" s="35"/>
      <c r="FE202" s="35"/>
      <c r="FF202" s="35"/>
      <c r="FG202" s="35"/>
      <c r="FH202" s="35"/>
      <c r="FI202" s="35"/>
      <c r="FJ202" s="35"/>
      <c r="FK202" s="35"/>
      <c r="FL202" s="35"/>
      <c r="FM202" s="35"/>
      <c r="FN202" s="35"/>
      <c r="FO202" s="35"/>
      <c r="FP202" s="35"/>
      <c r="FQ202" s="35"/>
      <c r="FR202" s="35"/>
      <c r="FS202" s="35"/>
      <c r="FT202" s="35"/>
      <c r="FU202" s="35"/>
      <c r="FV202" s="35"/>
      <c r="FW202" s="35"/>
      <c r="FX202" s="35"/>
      <c r="FY202" s="35"/>
      <c r="FZ202" s="35"/>
      <c r="GA202" s="35"/>
      <c r="GB202" s="35"/>
      <c r="GC202" s="35"/>
      <c r="GD202" s="35"/>
      <c r="GE202" s="35"/>
      <c r="GF202" s="35"/>
      <c r="GG202" s="35"/>
      <c r="GH202" s="35"/>
      <c r="GI202" s="35"/>
      <c r="GJ202" s="35"/>
      <c r="GK202" s="35"/>
      <c r="GL202" s="35"/>
      <c r="GM202" s="35"/>
      <c r="GN202" s="35"/>
      <c r="GO202" s="35"/>
      <c r="GP202" s="35"/>
      <c r="GQ202" s="35"/>
      <c r="GR202" s="35"/>
      <c r="GS202" s="35"/>
      <c r="GT202" s="35"/>
      <c r="GU202" s="35"/>
      <c r="GV202" s="35"/>
      <c r="GW202" s="35"/>
      <c r="GX202" s="35"/>
      <c r="GY202" s="35"/>
      <c r="GZ202" s="35"/>
      <c r="HA202" s="35"/>
      <c r="HB202" s="35"/>
      <c r="HC202" s="35"/>
      <c r="HD202" s="35"/>
      <c r="HE202" s="35"/>
      <c r="HF202" s="35"/>
      <c r="HG202" s="35"/>
      <c r="HH202" s="35"/>
      <c r="HI202" s="35"/>
      <c r="HJ202" s="35"/>
      <c r="HK202" s="35"/>
      <c r="HL202" s="35"/>
      <c r="HM202" s="35"/>
      <c r="HN202" s="35"/>
      <c r="HO202" s="35"/>
      <c r="HP202" s="35"/>
      <c r="HQ202" s="35"/>
      <c r="HR202" s="35"/>
      <c r="HS202" s="35"/>
      <c r="HT202" s="35"/>
      <c r="HU202" s="35"/>
      <c r="HV202" s="35"/>
      <c r="HW202" s="35"/>
      <c r="HX202" s="35"/>
      <c r="HY202" s="35"/>
      <c r="HZ202" s="35"/>
      <c r="IA202" s="35"/>
      <c r="IB202" s="35"/>
      <c r="IC202" s="35"/>
      <c r="ID202" s="35"/>
      <c r="IE202" s="35"/>
      <c r="IF202" s="35"/>
      <c r="IG202" s="35"/>
      <c r="IH202" s="35"/>
      <c r="II202" s="35"/>
      <c r="IJ202" s="35"/>
      <c r="IK202" s="35"/>
      <c r="IL202" s="35"/>
      <c r="IM202" s="35"/>
      <c r="IN202" s="35"/>
      <c r="IO202" s="35"/>
      <c r="IP202" s="35"/>
      <c r="IQ202" s="35"/>
      <c r="IR202" s="35"/>
      <c r="IS202" s="35"/>
      <c r="IT202" s="35"/>
      <c r="IU202" s="35"/>
      <c r="IV202" s="35"/>
      <c r="IW202" s="35"/>
      <c r="IX202" s="35"/>
      <c r="IY202" s="35"/>
      <c r="IZ202" s="35"/>
      <c r="JA202" s="35"/>
      <c r="JB202" s="35"/>
      <c r="JC202" s="35"/>
      <c r="JD202" s="35"/>
      <c r="JE202" s="35"/>
      <c r="JF202" s="35"/>
      <c r="JG202" s="35"/>
      <c r="JH202" s="35"/>
      <c r="JI202" s="35"/>
      <c r="JJ202" s="35"/>
      <c r="JK202" s="35"/>
      <c r="JL202" s="35"/>
      <c r="JM202" s="35"/>
      <c r="JN202" s="35"/>
      <c r="JO202" s="35"/>
      <c r="JP202" s="35"/>
      <c r="JQ202" s="35"/>
      <c r="JR202" s="35"/>
      <c r="JS202" s="35"/>
      <c r="JT202" s="35"/>
      <c r="JU202" s="35"/>
      <c r="JV202" s="35"/>
      <c r="JW202" s="35"/>
      <c r="JX202" s="35"/>
      <c r="JY202" s="35"/>
    </row>
    <row r="203">
      <c r="A203" s="28" t="s">
        <v>413</v>
      </c>
      <c r="B203" s="30"/>
      <c r="C203" s="78"/>
      <c r="D203" s="30"/>
      <c r="E203" s="31"/>
      <c r="F203" s="32"/>
      <c r="G203" s="32"/>
      <c r="H203" s="33"/>
      <c r="I203" s="72"/>
      <c r="J203" s="32"/>
      <c r="K203" s="33"/>
      <c r="L203" s="36" t="b">
        <v>0</v>
      </c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35"/>
      <c r="DX203" s="35"/>
      <c r="DY203" s="35"/>
      <c r="DZ203" s="35"/>
      <c r="EA203" s="35"/>
      <c r="EB203" s="35"/>
      <c r="EC203" s="35"/>
      <c r="ED203" s="35"/>
      <c r="EE203" s="35"/>
      <c r="EF203" s="35"/>
      <c r="EG203" s="35"/>
      <c r="EH203" s="35"/>
      <c r="EI203" s="35"/>
      <c r="EJ203" s="35"/>
      <c r="EK203" s="35"/>
      <c r="EL203" s="35"/>
      <c r="EM203" s="35"/>
      <c r="EN203" s="35"/>
      <c r="EO203" s="35"/>
      <c r="EP203" s="35"/>
      <c r="EQ203" s="35"/>
      <c r="ER203" s="35"/>
      <c r="ES203" s="35"/>
      <c r="ET203" s="35"/>
      <c r="EU203" s="35"/>
      <c r="EV203" s="35"/>
      <c r="EW203" s="35"/>
      <c r="EX203" s="35"/>
      <c r="EY203" s="35"/>
      <c r="EZ203" s="35"/>
      <c r="FA203" s="35"/>
      <c r="FB203" s="35"/>
      <c r="FC203" s="35"/>
      <c r="FD203" s="35"/>
      <c r="FE203" s="35"/>
      <c r="FF203" s="35"/>
      <c r="FG203" s="35"/>
      <c r="FH203" s="35"/>
      <c r="FI203" s="35"/>
      <c r="FJ203" s="35"/>
      <c r="FK203" s="35"/>
      <c r="FL203" s="35"/>
      <c r="FM203" s="35"/>
      <c r="FN203" s="35"/>
      <c r="FO203" s="35"/>
      <c r="FP203" s="35"/>
      <c r="FQ203" s="35"/>
      <c r="FR203" s="35"/>
      <c r="FS203" s="35"/>
      <c r="FT203" s="35"/>
      <c r="FU203" s="35"/>
      <c r="FV203" s="35"/>
      <c r="FW203" s="35"/>
      <c r="FX203" s="35"/>
      <c r="FY203" s="35"/>
      <c r="FZ203" s="35"/>
      <c r="GA203" s="35"/>
      <c r="GB203" s="35"/>
      <c r="GC203" s="35"/>
      <c r="GD203" s="35"/>
      <c r="GE203" s="35"/>
      <c r="GF203" s="35"/>
      <c r="GG203" s="35"/>
      <c r="GH203" s="35"/>
      <c r="GI203" s="35"/>
      <c r="GJ203" s="35"/>
      <c r="GK203" s="35"/>
      <c r="GL203" s="35"/>
      <c r="GM203" s="35"/>
      <c r="GN203" s="35"/>
      <c r="GO203" s="35"/>
      <c r="GP203" s="35"/>
      <c r="GQ203" s="35"/>
      <c r="GR203" s="35"/>
      <c r="GS203" s="35"/>
      <c r="GT203" s="35"/>
      <c r="GU203" s="35"/>
      <c r="GV203" s="35"/>
      <c r="GW203" s="35"/>
      <c r="GX203" s="35"/>
      <c r="GY203" s="35"/>
      <c r="GZ203" s="35"/>
      <c r="HA203" s="35"/>
      <c r="HB203" s="35"/>
      <c r="HC203" s="35"/>
      <c r="HD203" s="35"/>
      <c r="HE203" s="35"/>
      <c r="HF203" s="35"/>
      <c r="HG203" s="35"/>
      <c r="HH203" s="35"/>
      <c r="HI203" s="35"/>
      <c r="HJ203" s="35"/>
      <c r="HK203" s="35"/>
      <c r="HL203" s="35"/>
      <c r="HM203" s="35"/>
      <c r="HN203" s="35"/>
      <c r="HO203" s="35"/>
      <c r="HP203" s="35"/>
      <c r="HQ203" s="35"/>
      <c r="HR203" s="35"/>
      <c r="HS203" s="35"/>
      <c r="HT203" s="35"/>
      <c r="HU203" s="35"/>
      <c r="HV203" s="35"/>
      <c r="HW203" s="35"/>
      <c r="HX203" s="35"/>
      <c r="HY203" s="35"/>
      <c r="HZ203" s="35"/>
      <c r="IA203" s="35"/>
      <c r="IB203" s="35"/>
      <c r="IC203" s="35"/>
      <c r="ID203" s="35"/>
      <c r="IE203" s="35"/>
      <c r="IF203" s="35"/>
      <c r="IG203" s="35"/>
      <c r="IH203" s="35"/>
      <c r="II203" s="35"/>
      <c r="IJ203" s="35"/>
      <c r="IK203" s="35"/>
      <c r="IL203" s="35"/>
      <c r="IM203" s="35"/>
      <c r="IN203" s="35"/>
      <c r="IO203" s="35"/>
      <c r="IP203" s="35"/>
      <c r="IQ203" s="35"/>
      <c r="IR203" s="35"/>
      <c r="IS203" s="35"/>
      <c r="IT203" s="35"/>
      <c r="IU203" s="35"/>
      <c r="IV203" s="35"/>
      <c r="IW203" s="35"/>
      <c r="IX203" s="35"/>
      <c r="IY203" s="35"/>
      <c r="IZ203" s="35"/>
      <c r="JA203" s="35"/>
      <c r="JB203" s="35"/>
      <c r="JC203" s="35"/>
      <c r="JD203" s="35"/>
      <c r="JE203" s="35"/>
      <c r="JF203" s="35"/>
      <c r="JG203" s="35"/>
      <c r="JH203" s="35"/>
      <c r="JI203" s="35"/>
      <c r="JJ203" s="35"/>
      <c r="JK203" s="35"/>
      <c r="JL203" s="35"/>
      <c r="JM203" s="35"/>
      <c r="JN203" s="35"/>
      <c r="JO203" s="35"/>
      <c r="JP203" s="35"/>
      <c r="JQ203" s="35"/>
      <c r="JR203" s="35"/>
      <c r="JS203" s="35"/>
      <c r="JT203" s="35"/>
      <c r="JU203" s="35"/>
      <c r="JV203" s="35"/>
      <c r="JW203" s="35"/>
      <c r="JX203" s="35"/>
      <c r="JY203" s="35"/>
    </row>
    <row r="204">
      <c r="A204" s="28" t="s">
        <v>414</v>
      </c>
      <c r="B204" s="30"/>
      <c r="C204" s="78"/>
      <c r="D204" s="30"/>
      <c r="E204" s="31"/>
      <c r="F204" s="32"/>
      <c r="G204" s="32"/>
      <c r="H204" s="33"/>
      <c r="I204" s="72"/>
      <c r="J204" s="32"/>
      <c r="K204" s="33"/>
      <c r="L204" s="36" t="b">
        <v>0</v>
      </c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  <c r="ER204" s="35"/>
      <c r="ES204" s="35"/>
      <c r="ET204" s="35"/>
      <c r="EU204" s="35"/>
      <c r="EV204" s="35"/>
      <c r="EW204" s="35"/>
      <c r="EX204" s="35"/>
      <c r="EY204" s="35"/>
      <c r="EZ204" s="35"/>
      <c r="FA204" s="35"/>
      <c r="FB204" s="35"/>
      <c r="FC204" s="35"/>
      <c r="FD204" s="35"/>
      <c r="FE204" s="35"/>
      <c r="FF204" s="35"/>
      <c r="FG204" s="35"/>
      <c r="FH204" s="35"/>
      <c r="FI204" s="35"/>
      <c r="FJ204" s="35"/>
      <c r="FK204" s="35"/>
      <c r="FL204" s="35"/>
      <c r="FM204" s="35"/>
      <c r="FN204" s="35"/>
      <c r="FO204" s="35"/>
      <c r="FP204" s="35"/>
      <c r="FQ204" s="35"/>
      <c r="FR204" s="35"/>
      <c r="FS204" s="35"/>
      <c r="FT204" s="35"/>
      <c r="FU204" s="35"/>
      <c r="FV204" s="35"/>
      <c r="FW204" s="35"/>
      <c r="FX204" s="35"/>
      <c r="FY204" s="35"/>
      <c r="FZ204" s="35"/>
      <c r="GA204" s="35"/>
      <c r="GB204" s="35"/>
      <c r="GC204" s="35"/>
      <c r="GD204" s="35"/>
      <c r="GE204" s="35"/>
      <c r="GF204" s="35"/>
      <c r="GG204" s="35"/>
      <c r="GH204" s="35"/>
      <c r="GI204" s="35"/>
      <c r="GJ204" s="35"/>
      <c r="GK204" s="35"/>
      <c r="GL204" s="35"/>
      <c r="GM204" s="35"/>
      <c r="GN204" s="35"/>
      <c r="GO204" s="35"/>
      <c r="GP204" s="35"/>
      <c r="GQ204" s="35"/>
      <c r="GR204" s="35"/>
      <c r="GS204" s="35"/>
      <c r="GT204" s="35"/>
      <c r="GU204" s="35"/>
      <c r="GV204" s="35"/>
      <c r="GW204" s="35"/>
      <c r="GX204" s="35"/>
      <c r="GY204" s="35"/>
      <c r="GZ204" s="35"/>
      <c r="HA204" s="35"/>
      <c r="HB204" s="35"/>
      <c r="HC204" s="35"/>
      <c r="HD204" s="35"/>
      <c r="HE204" s="35"/>
      <c r="HF204" s="35"/>
      <c r="HG204" s="35"/>
      <c r="HH204" s="35"/>
      <c r="HI204" s="35"/>
      <c r="HJ204" s="35"/>
      <c r="HK204" s="35"/>
      <c r="HL204" s="35"/>
      <c r="HM204" s="35"/>
      <c r="HN204" s="35"/>
      <c r="HO204" s="35"/>
      <c r="HP204" s="35"/>
      <c r="HQ204" s="35"/>
      <c r="HR204" s="35"/>
      <c r="HS204" s="35"/>
      <c r="HT204" s="35"/>
      <c r="HU204" s="35"/>
      <c r="HV204" s="35"/>
      <c r="HW204" s="35"/>
      <c r="HX204" s="35"/>
      <c r="HY204" s="35"/>
      <c r="HZ204" s="35"/>
      <c r="IA204" s="35"/>
      <c r="IB204" s="35"/>
      <c r="IC204" s="35"/>
      <c r="ID204" s="35"/>
      <c r="IE204" s="35"/>
      <c r="IF204" s="35"/>
      <c r="IG204" s="35"/>
      <c r="IH204" s="35"/>
      <c r="II204" s="35"/>
      <c r="IJ204" s="35"/>
      <c r="IK204" s="35"/>
      <c r="IL204" s="35"/>
      <c r="IM204" s="35"/>
      <c r="IN204" s="35"/>
      <c r="IO204" s="35"/>
      <c r="IP204" s="35"/>
      <c r="IQ204" s="35"/>
      <c r="IR204" s="35"/>
      <c r="IS204" s="35"/>
      <c r="IT204" s="35"/>
      <c r="IU204" s="35"/>
      <c r="IV204" s="35"/>
      <c r="IW204" s="35"/>
      <c r="IX204" s="35"/>
      <c r="IY204" s="35"/>
      <c r="IZ204" s="35"/>
      <c r="JA204" s="35"/>
      <c r="JB204" s="35"/>
      <c r="JC204" s="35"/>
      <c r="JD204" s="35"/>
      <c r="JE204" s="35"/>
      <c r="JF204" s="35"/>
      <c r="JG204" s="35"/>
      <c r="JH204" s="35"/>
      <c r="JI204" s="35"/>
      <c r="JJ204" s="35"/>
      <c r="JK204" s="35"/>
      <c r="JL204" s="35"/>
      <c r="JM204" s="35"/>
      <c r="JN204" s="35"/>
      <c r="JO204" s="35"/>
      <c r="JP204" s="35"/>
      <c r="JQ204" s="35"/>
      <c r="JR204" s="35"/>
      <c r="JS204" s="35"/>
      <c r="JT204" s="35"/>
      <c r="JU204" s="35"/>
      <c r="JV204" s="35"/>
      <c r="JW204" s="35"/>
      <c r="JX204" s="35"/>
      <c r="JY204" s="35"/>
    </row>
    <row r="205">
      <c r="A205" s="28" t="s">
        <v>415</v>
      </c>
      <c r="B205" s="30"/>
      <c r="C205" s="78"/>
      <c r="D205" s="30"/>
      <c r="E205" s="31"/>
      <c r="F205" s="32"/>
      <c r="G205" s="32"/>
      <c r="H205" s="33"/>
      <c r="I205" s="72"/>
      <c r="J205" s="32"/>
      <c r="K205" s="33"/>
      <c r="L205" s="36" t="b">
        <v>0</v>
      </c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35"/>
      <c r="DX205" s="35"/>
      <c r="DY205" s="35"/>
      <c r="DZ205" s="35"/>
      <c r="EA205" s="35"/>
      <c r="EB205" s="35"/>
      <c r="EC205" s="35"/>
      <c r="ED205" s="35"/>
      <c r="EE205" s="35"/>
      <c r="EF205" s="35"/>
      <c r="EG205" s="35"/>
      <c r="EH205" s="35"/>
      <c r="EI205" s="35"/>
      <c r="EJ205" s="35"/>
      <c r="EK205" s="35"/>
      <c r="EL205" s="35"/>
      <c r="EM205" s="35"/>
      <c r="EN205" s="35"/>
      <c r="EO205" s="35"/>
      <c r="EP205" s="35"/>
      <c r="EQ205" s="35"/>
      <c r="ER205" s="35"/>
      <c r="ES205" s="35"/>
      <c r="ET205" s="35"/>
      <c r="EU205" s="35"/>
      <c r="EV205" s="35"/>
      <c r="EW205" s="35"/>
      <c r="EX205" s="35"/>
      <c r="EY205" s="35"/>
      <c r="EZ205" s="35"/>
      <c r="FA205" s="35"/>
      <c r="FB205" s="35"/>
      <c r="FC205" s="35"/>
      <c r="FD205" s="35"/>
      <c r="FE205" s="35"/>
      <c r="FF205" s="35"/>
      <c r="FG205" s="35"/>
      <c r="FH205" s="35"/>
      <c r="FI205" s="35"/>
      <c r="FJ205" s="35"/>
      <c r="FK205" s="35"/>
      <c r="FL205" s="35"/>
      <c r="FM205" s="35"/>
      <c r="FN205" s="35"/>
      <c r="FO205" s="35"/>
      <c r="FP205" s="35"/>
      <c r="FQ205" s="35"/>
      <c r="FR205" s="35"/>
      <c r="FS205" s="35"/>
      <c r="FT205" s="35"/>
      <c r="FU205" s="35"/>
      <c r="FV205" s="35"/>
      <c r="FW205" s="35"/>
      <c r="FX205" s="35"/>
      <c r="FY205" s="35"/>
      <c r="FZ205" s="35"/>
      <c r="GA205" s="35"/>
      <c r="GB205" s="35"/>
      <c r="GC205" s="35"/>
      <c r="GD205" s="35"/>
      <c r="GE205" s="35"/>
      <c r="GF205" s="35"/>
      <c r="GG205" s="35"/>
      <c r="GH205" s="35"/>
      <c r="GI205" s="35"/>
      <c r="GJ205" s="35"/>
      <c r="GK205" s="35"/>
      <c r="GL205" s="35"/>
      <c r="GM205" s="35"/>
      <c r="GN205" s="35"/>
      <c r="GO205" s="35"/>
      <c r="GP205" s="35"/>
      <c r="GQ205" s="35"/>
      <c r="GR205" s="35"/>
      <c r="GS205" s="35"/>
      <c r="GT205" s="35"/>
      <c r="GU205" s="35"/>
      <c r="GV205" s="35"/>
      <c r="GW205" s="35"/>
      <c r="GX205" s="35"/>
      <c r="GY205" s="35"/>
      <c r="GZ205" s="35"/>
      <c r="HA205" s="35"/>
      <c r="HB205" s="35"/>
      <c r="HC205" s="35"/>
      <c r="HD205" s="35"/>
      <c r="HE205" s="35"/>
      <c r="HF205" s="35"/>
      <c r="HG205" s="35"/>
      <c r="HH205" s="35"/>
      <c r="HI205" s="35"/>
      <c r="HJ205" s="35"/>
      <c r="HK205" s="35"/>
      <c r="HL205" s="35"/>
      <c r="HM205" s="35"/>
      <c r="HN205" s="35"/>
      <c r="HO205" s="35"/>
      <c r="HP205" s="35"/>
      <c r="HQ205" s="35"/>
      <c r="HR205" s="35"/>
      <c r="HS205" s="35"/>
      <c r="HT205" s="35"/>
      <c r="HU205" s="35"/>
      <c r="HV205" s="35"/>
      <c r="HW205" s="35"/>
      <c r="HX205" s="35"/>
      <c r="HY205" s="35"/>
      <c r="HZ205" s="35"/>
      <c r="IA205" s="35"/>
      <c r="IB205" s="35"/>
      <c r="IC205" s="35"/>
      <c r="ID205" s="35"/>
      <c r="IE205" s="35"/>
      <c r="IF205" s="35"/>
      <c r="IG205" s="35"/>
      <c r="IH205" s="35"/>
      <c r="II205" s="35"/>
      <c r="IJ205" s="35"/>
      <c r="IK205" s="35"/>
      <c r="IL205" s="35"/>
      <c r="IM205" s="35"/>
      <c r="IN205" s="35"/>
      <c r="IO205" s="35"/>
      <c r="IP205" s="35"/>
      <c r="IQ205" s="35"/>
      <c r="IR205" s="35"/>
      <c r="IS205" s="35"/>
      <c r="IT205" s="35"/>
      <c r="IU205" s="35"/>
      <c r="IV205" s="35"/>
      <c r="IW205" s="35"/>
      <c r="IX205" s="35"/>
      <c r="IY205" s="35"/>
      <c r="IZ205" s="35"/>
      <c r="JA205" s="35"/>
      <c r="JB205" s="35"/>
      <c r="JC205" s="35"/>
      <c r="JD205" s="35"/>
      <c r="JE205" s="35"/>
      <c r="JF205" s="35"/>
      <c r="JG205" s="35"/>
      <c r="JH205" s="35"/>
      <c r="JI205" s="35"/>
      <c r="JJ205" s="35"/>
      <c r="JK205" s="35"/>
      <c r="JL205" s="35"/>
      <c r="JM205" s="35"/>
      <c r="JN205" s="35"/>
      <c r="JO205" s="35"/>
      <c r="JP205" s="35"/>
      <c r="JQ205" s="35"/>
      <c r="JR205" s="35"/>
      <c r="JS205" s="35"/>
      <c r="JT205" s="35"/>
      <c r="JU205" s="35"/>
      <c r="JV205" s="35"/>
      <c r="JW205" s="35"/>
      <c r="JX205" s="35"/>
      <c r="JY205" s="35"/>
    </row>
    <row r="206">
      <c r="A206" s="28" t="s">
        <v>416</v>
      </c>
      <c r="B206" s="30"/>
      <c r="C206" s="78"/>
      <c r="D206" s="30"/>
      <c r="E206" s="31"/>
      <c r="F206" s="32"/>
      <c r="G206" s="32"/>
      <c r="H206" s="33"/>
      <c r="I206" s="72"/>
      <c r="J206" s="32"/>
      <c r="K206" s="33"/>
      <c r="L206" s="36" t="b">
        <v>0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  <c r="FS206" s="35"/>
      <c r="FT206" s="35"/>
      <c r="FU206" s="35"/>
      <c r="FV206" s="35"/>
      <c r="FW206" s="35"/>
      <c r="FX206" s="35"/>
      <c r="FY206" s="35"/>
      <c r="FZ206" s="35"/>
      <c r="GA206" s="35"/>
      <c r="GB206" s="35"/>
      <c r="GC206" s="35"/>
      <c r="GD206" s="35"/>
      <c r="GE206" s="35"/>
      <c r="GF206" s="35"/>
      <c r="GG206" s="35"/>
      <c r="GH206" s="35"/>
      <c r="GI206" s="35"/>
      <c r="GJ206" s="35"/>
      <c r="GK206" s="35"/>
      <c r="GL206" s="35"/>
      <c r="GM206" s="35"/>
      <c r="GN206" s="35"/>
      <c r="GO206" s="35"/>
      <c r="GP206" s="35"/>
      <c r="GQ206" s="35"/>
      <c r="GR206" s="35"/>
      <c r="GS206" s="35"/>
      <c r="GT206" s="35"/>
      <c r="GU206" s="35"/>
      <c r="GV206" s="35"/>
      <c r="GW206" s="35"/>
      <c r="GX206" s="35"/>
      <c r="GY206" s="35"/>
      <c r="GZ206" s="35"/>
      <c r="HA206" s="35"/>
      <c r="HB206" s="35"/>
      <c r="HC206" s="35"/>
      <c r="HD206" s="35"/>
      <c r="HE206" s="35"/>
      <c r="HF206" s="35"/>
      <c r="HG206" s="35"/>
      <c r="HH206" s="35"/>
      <c r="HI206" s="35"/>
      <c r="HJ206" s="35"/>
      <c r="HK206" s="35"/>
      <c r="HL206" s="35"/>
      <c r="HM206" s="35"/>
      <c r="HN206" s="35"/>
      <c r="HO206" s="35"/>
      <c r="HP206" s="35"/>
      <c r="HQ206" s="35"/>
      <c r="HR206" s="35"/>
      <c r="HS206" s="35"/>
      <c r="HT206" s="35"/>
      <c r="HU206" s="35"/>
      <c r="HV206" s="35"/>
      <c r="HW206" s="35"/>
      <c r="HX206" s="35"/>
      <c r="HY206" s="35"/>
      <c r="HZ206" s="35"/>
      <c r="IA206" s="35"/>
      <c r="IB206" s="35"/>
      <c r="IC206" s="35"/>
      <c r="ID206" s="35"/>
      <c r="IE206" s="35"/>
      <c r="IF206" s="35"/>
      <c r="IG206" s="35"/>
      <c r="IH206" s="35"/>
      <c r="II206" s="35"/>
      <c r="IJ206" s="35"/>
      <c r="IK206" s="35"/>
      <c r="IL206" s="35"/>
      <c r="IM206" s="35"/>
      <c r="IN206" s="35"/>
      <c r="IO206" s="35"/>
      <c r="IP206" s="35"/>
      <c r="IQ206" s="35"/>
      <c r="IR206" s="35"/>
      <c r="IS206" s="35"/>
      <c r="IT206" s="35"/>
      <c r="IU206" s="35"/>
      <c r="IV206" s="35"/>
      <c r="IW206" s="35"/>
      <c r="IX206" s="35"/>
      <c r="IY206" s="35"/>
      <c r="IZ206" s="35"/>
      <c r="JA206" s="35"/>
      <c r="JB206" s="35"/>
      <c r="JC206" s="35"/>
      <c r="JD206" s="35"/>
      <c r="JE206" s="35"/>
      <c r="JF206" s="35"/>
      <c r="JG206" s="35"/>
      <c r="JH206" s="35"/>
      <c r="JI206" s="35"/>
      <c r="JJ206" s="35"/>
      <c r="JK206" s="35"/>
      <c r="JL206" s="35"/>
      <c r="JM206" s="35"/>
      <c r="JN206" s="35"/>
      <c r="JO206" s="35"/>
      <c r="JP206" s="35"/>
      <c r="JQ206" s="35"/>
      <c r="JR206" s="35"/>
      <c r="JS206" s="35"/>
      <c r="JT206" s="35"/>
      <c r="JU206" s="35"/>
      <c r="JV206" s="35"/>
      <c r="JW206" s="35"/>
      <c r="JX206" s="35"/>
      <c r="JY206" s="35"/>
    </row>
    <row r="207">
      <c r="A207" s="28" t="s">
        <v>417</v>
      </c>
      <c r="B207" s="30"/>
      <c r="C207" s="78"/>
      <c r="D207" s="30"/>
      <c r="E207" s="31"/>
      <c r="F207" s="32"/>
      <c r="G207" s="32"/>
      <c r="H207" s="33"/>
      <c r="I207" s="72"/>
      <c r="J207" s="32"/>
      <c r="K207" s="33"/>
      <c r="L207" s="36" t="b">
        <v>0</v>
      </c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  <c r="ER207" s="35"/>
      <c r="ES207" s="35"/>
      <c r="ET207" s="35"/>
      <c r="EU207" s="35"/>
      <c r="EV207" s="35"/>
      <c r="EW207" s="35"/>
      <c r="EX207" s="35"/>
      <c r="EY207" s="35"/>
      <c r="EZ207" s="35"/>
      <c r="FA207" s="35"/>
      <c r="FB207" s="35"/>
      <c r="FC207" s="35"/>
      <c r="FD207" s="35"/>
      <c r="FE207" s="35"/>
      <c r="FF207" s="35"/>
      <c r="FG207" s="35"/>
      <c r="FH207" s="35"/>
      <c r="FI207" s="35"/>
      <c r="FJ207" s="35"/>
      <c r="FK207" s="35"/>
      <c r="FL207" s="35"/>
      <c r="FM207" s="35"/>
      <c r="FN207" s="35"/>
      <c r="FO207" s="35"/>
      <c r="FP207" s="35"/>
      <c r="FQ207" s="35"/>
      <c r="FR207" s="35"/>
      <c r="FS207" s="35"/>
      <c r="FT207" s="35"/>
      <c r="FU207" s="35"/>
      <c r="FV207" s="35"/>
      <c r="FW207" s="35"/>
      <c r="FX207" s="35"/>
      <c r="FY207" s="35"/>
      <c r="FZ207" s="35"/>
      <c r="GA207" s="35"/>
      <c r="GB207" s="35"/>
      <c r="GC207" s="35"/>
      <c r="GD207" s="35"/>
      <c r="GE207" s="35"/>
      <c r="GF207" s="35"/>
      <c r="GG207" s="35"/>
      <c r="GH207" s="35"/>
      <c r="GI207" s="35"/>
      <c r="GJ207" s="35"/>
      <c r="GK207" s="35"/>
      <c r="GL207" s="35"/>
      <c r="GM207" s="35"/>
      <c r="GN207" s="35"/>
      <c r="GO207" s="35"/>
      <c r="GP207" s="35"/>
      <c r="GQ207" s="35"/>
      <c r="GR207" s="35"/>
      <c r="GS207" s="35"/>
      <c r="GT207" s="35"/>
      <c r="GU207" s="35"/>
      <c r="GV207" s="35"/>
      <c r="GW207" s="35"/>
      <c r="GX207" s="35"/>
      <c r="GY207" s="35"/>
      <c r="GZ207" s="35"/>
      <c r="HA207" s="35"/>
      <c r="HB207" s="35"/>
      <c r="HC207" s="35"/>
      <c r="HD207" s="35"/>
      <c r="HE207" s="35"/>
      <c r="HF207" s="35"/>
      <c r="HG207" s="35"/>
      <c r="HH207" s="35"/>
      <c r="HI207" s="35"/>
      <c r="HJ207" s="35"/>
      <c r="HK207" s="35"/>
      <c r="HL207" s="35"/>
      <c r="HM207" s="35"/>
      <c r="HN207" s="35"/>
      <c r="HO207" s="35"/>
      <c r="HP207" s="35"/>
      <c r="HQ207" s="35"/>
      <c r="HR207" s="35"/>
      <c r="HS207" s="35"/>
      <c r="HT207" s="35"/>
      <c r="HU207" s="35"/>
      <c r="HV207" s="35"/>
      <c r="HW207" s="35"/>
      <c r="HX207" s="35"/>
      <c r="HY207" s="35"/>
      <c r="HZ207" s="35"/>
      <c r="IA207" s="35"/>
      <c r="IB207" s="35"/>
      <c r="IC207" s="35"/>
      <c r="ID207" s="35"/>
      <c r="IE207" s="35"/>
      <c r="IF207" s="35"/>
      <c r="IG207" s="35"/>
      <c r="IH207" s="35"/>
      <c r="II207" s="35"/>
      <c r="IJ207" s="35"/>
      <c r="IK207" s="35"/>
      <c r="IL207" s="35"/>
      <c r="IM207" s="35"/>
      <c r="IN207" s="35"/>
      <c r="IO207" s="35"/>
      <c r="IP207" s="35"/>
      <c r="IQ207" s="35"/>
      <c r="IR207" s="35"/>
      <c r="IS207" s="35"/>
      <c r="IT207" s="35"/>
      <c r="IU207" s="35"/>
      <c r="IV207" s="35"/>
      <c r="IW207" s="35"/>
      <c r="IX207" s="35"/>
      <c r="IY207" s="35"/>
      <c r="IZ207" s="35"/>
      <c r="JA207" s="35"/>
      <c r="JB207" s="35"/>
      <c r="JC207" s="35"/>
      <c r="JD207" s="35"/>
      <c r="JE207" s="35"/>
      <c r="JF207" s="35"/>
      <c r="JG207" s="35"/>
      <c r="JH207" s="35"/>
      <c r="JI207" s="35"/>
      <c r="JJ207" s="35"/>
      <c r="JK207" s="35"/>
      <c r="JL207" s="35"/>
      <c r="JM207" s="35"/>
      <c r="JN207" s="35"/>
      <c r="JO207" s="35"/>
      <c r="JP207" s="35"/>
      <c r="JQ207" s="35"/>
      <c r="JR207" s="35"/>
      <c r="JS207" s="35"/>
      <c r="JT207" s="35"/>
      <c r="JU207" s="35"/>
      <c r="JV207" s="35"/>
      <c r="JW207" s="35"/>
      <c r="JX207" s="35"/>
      <c r="JY207" s="35"/>
    </row>
    <row r="208">
      <c r="A208" s="28" t="s">
        <v>418</v>
      </c>
      <c r="B208" s="30"/>
      <c r="C208" s="78"/>
      <c r="D208" s="30"/>
      <c r="E208" s="31"/>
      <c r="F208" s="32"/>
      <c r="G208" s="32"/>
      <c r="H208" s="33"/>
      <c r="I208" s="72"/>
      <c r="J208" s="32"/>
      <c r="K208" s="33"/>
      <c r="L208" s="36" t="b">
        <v>0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  <c r="EZ208" s="35"/>
      <c r="FA208" s="35"/>
      <c r="FB208" s="35"/>
      <c r="FC208" s="35"/>
      <c r="FD208" s="35"/>
      <c r="FE208" s="35"/>
      <c r="FF208" s="35"/>
      <c r="FG208" s="35"/>
      <c r="FH208" s="35"/>
      <c r="FI208" s="35"/>
      <c r="FJ208" s="35"/>
      <c r="FK208" s="35"/>
      <c r="FL208" s="35"/>
      <c r="FM208" s="35"/>
      <c r="FN208" s="35"/>
      <c r="FO208" s="35"/>
      <c r="FP208" s="35"/>
      <c r="FQ208" s="35"/>
      <c r="FR208" s="35"/>
      <c r="FS208" s="35"/>
      <c r="FT208" s="35"/>
      <c r="FU208" s="35"/>
      <c r="FV208" s="35"/>
      <c r="FW208" s="35"/>
      <c r="FX208" s="35"/>
      <c r="FY208" s="35"/>
      <c r="FZ208" s="35"/>
      <c r="GA208" s="35"/>
      <c r="GB208" s="35"/>
      <c r="GC208" s="35"/>
      <c r="GD208" s="35"/>
      <c r="GE208" s="35"/>
      <c r="GF208" s="35"/>
      <c r="GG208" s="35"/>
      <c r="GH208" s="35"/>
      <c r="GI208" s="35"/>
      <c r="GJ208" s="35"/>
      <c r="GK208" s="35"/>
      <c r="GL208" s="35"/>
      <c r="GM208" s="35"/>
      <c r="GN208" s="35"/>
      <c r="GO208" s="35"/>
      <c r="GP208" s="35"/>
      <c r="GQ208" s="35"/>
      <c r="GR208" s="35"/>
      <c r="GS208" s="35"/>
      <c r="GT208" s="35"/>
      <c r="GU208" s="35"/>
      <c r="GV208" s="35"/>
      <c r="GW208" s="35"/>
      <c r="GX208" s="35"/>
      <c r="GY208" s="35"/>
      <c r="GZ208" s="35"/>
      <c r="HA208" s="35"/>
      <c r="HB208" s="35"/>
      <c r="HC208" s="35"/>
      <c r="HD208" s="35"/>
      <c r="HE208" s="35"/>
      <c r="HF208" s="35"/>
      <c r="HG208" s="35"/>
      <c r="HH208" s="35"/>
      <c r="HI208" s="35"/>
      <c r="HJ208" s="35"/>
      <c r="HK208" s="35"/>
      <c r="HL208" s="35"/>
      <c r="HM208" s="35"/>
      <c r="HN208" s="35"/>
      <c r="HO208" s="35"/>
      <c r="HP208" s="35"/>
      <c r="HQ208" s="35"/>
      <c r="HR208" s="35"/>
      <c r="HS208" s="35"/>
      <c r="HT208" s="35"/>
      <c r="HU208" s="35"/>
      <c r="HV208" s="35"/>
      <c r="HW208" s="35"/>
      <c r="HX208" s="35"/>
      <c r="HY208" s="35"/>
      <c r="HZ208" s="35"/>
      <c r="IA208" s="35"/>
      <c r="IB208" s="35"/>
      <c r="IC208" s="35"/>
      <c r="ID208" s="35"/>
      <c r="IE208" s="35"/>
      <c r="IF208" s="35"/>
      <c r="IG208" s="35"/>
      <c r="IH208" s="35"/>
      <c r="II208" s="35"/>
      <c r="IJ208" s="35"/>
      <c r="IK208" s="35"/>
      <c r="IL208" s="35"/>
      <c r="IM208" s="35"/>
      <c r="IN208" s="35"/>
      <c r="IO208" s="35"/>
      <c r="IP208" s="35"/>
      <c r="IQ208" s="35"/>
      <c r="IR208" s="35"/>
      <c r="IS208" s="35"/>
      <c r="IT208" s="35"/>
      <c r="IU208" s="35"/>
      <c r="IV208" s="35"/>
      <c r="IW208" s="35"/>
      <c r="IX208" s="35"/>
      <c r="IY208" s="35"/>
      <c r="IZ208" s="35"/>
      <c r="JA208" s="35"/>
      <c r="JB208" s="35"/>
      <c r="JC208" s="35"/>
      <c r="JD208" s="35"/>
      <c r="JE208" s="35"/>
      <c r="JF208" s="35"/>
      <c r="JG208" s="35"/>
      <c r="JH208" s="35"/>
      <c r="JI208" s="35"/>
      <c r="JJ208" s="35"/>
      <c r="JK208" s="35"/>
      <c r="JL208" s="35"/>
      <c r="JM208" s="35"/>
      <c r="JN208" s="35"/>
      <c r="JO208" s="35"/>
      <c r="JP208" s="35"/>
      <c r="JQ208" s="35"/>
      <c r="JR208" s="35"/>
      <c r="JS208" s="35"/>
      <c r="JT208" s="35"/>
      <c r="JU208" s="35"/>
      <c r="JV208" s="35"/>
      <c r="JW208" s="35"/>
      <c r="JX208" s="35"/>
      <c r="JY208" s="35"/>
    </row>
    <row r="209">
      <c r="A209" s="28" t="s">
        <v>419</v>
      </c>
      <c r="B209" s="30"/>
      <c r="C209" s="78"/>
      <c r="D209" s="30"/>
      <c r="E209" s="31"/>
      <c r="F209" s="32"/>
      <c r="G209" s="32"/>
      <c r="H209" s="33"/>
      <c r="I209" s="72"/>
      <c r="J209" s="32"/>
      <c r="K209" s="33"/>
      <c r="L209" s="36" t="b">
        <v>0</v>
      </c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35"/>
      <c r="DX209" s="35"/>
      <c r="DY209" s="35"/>
      <c r="DZ209" s="35"/>
      <c r="EA209" s="35"/>
      <c r="EB209" s="35"/>
      <c r="EC209" s="35"/>
      <c r="ED209" s="35"/>
      <c r="EE209" s="35"/>
      <c r="EF209" s="35"/>
      <c r="EG209" s="35"/>
      <c r="EH209" s="35"/>
      <c r="EI209" s="35"/>
      <c r="EJ209" s="35"/>
      <c r="EK209" s="35"/>
      <c r="EL209" s="35"/>
      <c r="EM209" s="35"/>
      <c r="EN209" s="35"/>
      <c r="EO209" s="35"/>
      <c r="EP209" s="35"/>
      <c r="EQ209" s="35"/>
      <c r="ER209" s="35"/>
      <c r="ES209" s="35"/>
      <c r="ET209" s="35"/>
      <c r="EU209" s="35"/>
      <c r="EV209" s="35"/>
      <c r="EW209" s="35"/>
      <c r="EX209" s="35"/>
      <c r="EY209" s="35"/>
      <c r="EZ209" s="35"/>
      <c r="FA209" s="35"/>
      <c r="FB209" s="35"/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  <c r="FS209" s="35"/>
      <c r="FT209" s="35"/>
      <c r="FU209" s="35"/>
      <c r="FV209" s="35"/>
      <c r="FW209" s="35"/>
      <c r="FX209" s="35"/>
      <c r="FY209" s="35"/>
      <c r="FZ209" s="35"/>
      <c r="GA209" s="35"/>
      <c r="GB209" s="35"/>
      <c r="GC209" s="35"/>
      <c r="GD209" s="35"/>
      <c r="GE209" s="35"/>
      <c r="GF209" s="35"/>
      <c r="GG209" s="35"/>
      <c r="GH209" s="35"/>
      <c r="GI209" s="35"/>
      <c r="GJ209" s="35"/>
      <c r="GK209" s="35"/>
      <c r="GL209" s="35"/>
      <c r="GM209" s="35"/>
      <c r="GN209" s="35"/>
      <c r="GO209" s="35"/>
      <c r="GP209" s="35"/>
      <c r="GQ209" s="35"/>
      <c r="GR209" s="35"/>
      <c r="GS209" s="35"/>
      <c r="GT209" s="35"/>
      <c r="GU209" s="35"/>
      <c r="GV209" s="35"/>
      <c r="GW209" s="35"/>
      <c r="GX209" s="35"/>
      <c r="GY209" s="35"/>
      <c r="GZ209" s="35"/>
      <c r="HA209" s="35"/>
      <c r="HB209" s="35"/>
      <c r="HC209" s="35"/>
      <c r="HD209" s="35"/>
      <c r="HE209" s="35"/>
      <c r="HF209" s="35"/>
      <c r="HG209" s="35"/>
      <c r="HH209" s="35"/>
      <c r="HI209" s="35"/>
      <c r="HJ209" s="35"/>
      <c r="HK209" s="35"/>
      <c r="HL209" s="35"/>
      <c r="HM209" s="35"/>
      <c r="HN209" s="35"/>
      <c r="HO209" s="35"/>
      <c r="HP209" s="35"/>
      <c r="HQ209" s="35"/>
      <c r="HR209" s="35"/>
      <c r="HS209" s="35"/>
      <c r="HT209" s="35"/>
      <c r="HU209" s="35"/>
      <c r="HV209" s="35"/>
      <c r="HW209" s="35"/>
      <c r="HX209" s="35"/>
      <c r="HY209" s="35"/>
      <c r="HZ209" s="35"/>
      <c r="IA209" s="35"/>
      <c r="IB209" s="35"/>
      <c r="IC209" s="35"/>
      <c r="ID209" s="35"/>
      <c r="IE209" s="35"/>
      <c r="IF209" s="35"/>
      <c r="IG209" s="35"/>
      <c r="IH209" s="35"/>
      <c r="II209" s="35"/>
      <c r="IJ209" s="35"/>
      <c r="IK209" s="35"/>
      <c r="IL209" s="35"/>
      <c r="IM209" s="35"/>
      <c r="IN209" s="35"/>
      <c r="IO209" s="35"/>
      <c r="IP209" s="35"/>
      <c r="IQ209" s="35"/>
      <c r="IR209" s="35"/>
      <c r="IS209" s="35"/>
      <c r="IT209" s="35"/>
      <c r="IU209" s="35"/>
      <c r="IV209" s="35"/>
      <c r="IW209" s="35"/>
      <c r="IX209" s="35"/>
      <c r="IY209" s="35"/>
      <c r="IZ209" s="35"/>
      <c r="JA209" s="35"/>
      <c r="JB209" s="35"/>
      <c r="JC209" s="35"/>
      <c r="JD209" s="35"/>
      <c r="JE209" s="35"/>
      <c r="JF209" s="35"/>
      <c r="JG209" s="35"/>
      <c r="JH209" s="35"/>
      <c r="JI209" s="35"/>
      <c r="JJ209" s="35"/>
      <c r="JK209" s="35"/>
      <c r="JL209" s="35"/>
      <c r="JM209" s="35"/>
      <c r="JN209" s="35"/>
      <c r="JO209" s="35"/>
      <c r="JP209" s="35"/>
      <c r="JQ209" s="35"/>
      <c r="JR209" s="35"/>
      <c r="JS209" s="35"/>
      <c r="JT209" s="35"/>
      <c r="JU209" s="35"/>
      <c r="JV209" s="35"/>
      <c r="JW209" s="35"/>
      <c r="JX209" s="35"/>
      <c r="JY209" s="35"/>
    </row>
    <row r="210">
      <c r="A210" s="28" t="s">
        <v>420</v>
      </c>
      <c r="B210" s="30"/>
      <c r="C210" s="78"/>
      <c r="D210" s="30"/>
      <c r="E210" s="31"/>
      <c r="F210" s="32"/>
      <c r="G210" s="32"/>
      <c r="H210" s="33"/>
      <c r="I210" s="72"/>
      <c r="J210" s="32"/>
      <c r="K210" s="33"/>
      <c r="L210" s="36" t="b">
        <v>0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B210" s="35"/>
      <c r="EC210" s="35"/>
      <c r="ED210" s="35"/>
      <c r="EE210" s="35"/>
      <c r="EF210" s="35"/>
      <c r="EG210" s="35"/>
      <c r="EH210" s="35"/>
      <c r="EI210" s="35"/>
      <c r="EJ210" s="35"/>
      <c r="EK210" s="35"/>
      <c r="EL210" s="35"/>
      <c r="EM210" s="35"/>
      <c r="EN210" s="35"/>
      <c r="EO210" s="35"/>
      <c r="EP210" s="35"/>
      <c r="EQ210" s="35"/>
      <c r="ER210" s="35"/>
      <c r="ES210" s="35"/>
      <c r="ET210" s="35"/>
      <c r="EU210" s="35"/>
      <c r="EV210" s="35"/>
      <c r="EW210" s="35"/>
      <c r="EX210" s="35"/>
      <c r="EY210" s="35"/>
      <c r="EZ210" s="35"/>
      <c r="FA210" s="35"/>
      <c r="FB210" s="35"/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  <c r="FS210" s="35"/>
      <c r="FT210" s="35"/>
      <c r="FU210" s="35"/>
      <c r="FV210" s="35"/>
      <c r="FW210" s="35"/>
      <c r="FX210" s="35"/>
      <c r="FY210" s="35"/>
      <c r="FZ210" s="35"/>
      <c r="GA210" s="35"/>
      <c r="GB210" s="35"/>
      <c r="GC210" s="35"/>
      <c r="GD210" s="35"/>
      <c r="GE210" s="35"/>
      <c r="GF210" s="35"/>
      <c r="GG210" s="35"/>
      <c r="GH210" s="35"/>
      <c r="GI210" s="35"/>
      <c r="GJ210" s="35"/>
      <c r="GK210" s="35"/>
      <c r="GL210" s="35"/>
      <c r="GM210" s="35"/>
      <c r="GN210" s="35"/>
      <c r="GO210" s="35"/>
      <c r="GP210" s="35"/>
      <c r="GQ210" s="35"/>
      <c r="GR210" s="35"/>
      <c r="GS210" s="35"/>
      <c r="GT210" s="35"/>
      <c r="GU210" s="35"/>
      <c r="GV210" s="35"/>
      <c r="GW210" s="35"/>
      <c r="GX210" s="35"/>
      <c r="GY210" s="35"/>
      <c r="GZ210" s="35"/>
      <c r="HA210" s="35"/>
      <c r="HB210" s="35"/>
      <c r="HC210" s="35"/>
      <c r="HD210" s="35"/>
      <c r="HE210" s="35"/>
      <c r="HF210" s="35"/>
      <c r="HG210" s="35"/>
      <c r="HH210" s="35"/>
      <c r="HI210" s="35"/>
      <c r="HJ210" s="35"/>
      <c r="HK210" s="35"/>
      <c r="HL210" s="35"/>
      <c r="HM210" s="35"/>
      <c r="HN210" s="35"/>
      <c r="HO210" s="35"/>
      <c r="HP210" s="35"/>
      <c r="HQ210" s="35"/>
      <c r="HR210" s="35"/>
      <c r="HS210" s="35"/>
      <c r="HT210" s="35"/>
      <c r="HU210" s="35"/>
      <c r="HV210" s="35"/>
      <c r="HW210" s="35"/>
      <c r="HX210" s="35"/>
      <c r="HY210" s="35"/>
      <c r="HZ210" s="35"/>
      <c r="IA210" s="35"/>
      <c r="IB210" s="35"/>
      <c r="IC210" s="35"/>
      <c r="ID210" s="35"/>
      <c r="IE210" s="35"/>
      <c r="IF210" s="35"/>
      <c r="IG210" s="35"/>
      <c r="IH210" s="35"/>
      <c r="II210" s="35"/>
      <c r="IJ210" s="35"/>
      <c r="IK210" s="35"/>
      <c r="IL210" s="35"/>
      <c r="IM210" s="35"/>
      <c r="IN210" s="35"/>
      <c r="IO210" s="35"/>
      <c r="IP210" s="35"/>
      <c r="IQ210" s="35"/>
      <c r="IR210" s="35"/>
      <c r="IS210" s="35"/>
      <c r="IT210" s="35"/>
      <c r="IU210" s="35"/>
      <c r="IV210" s="35"/>
      <c r="IW210" s="35"/>
      <c r="IX210" s="35"/>
      <c r="IY210" s="35"/>
      <c r="IZ210" s="35"/>
      <c r="JA210" s="35"/>
      <c r="JB210" s="35"/>
      <c r="JC210" s="35"/>
      <c r="JD210" s="35"/>
      <c r="JE210" s="35"/>
      <c r="JF210" s="35"/>
      <c r="JG210" s="35"/>
      <c r="JH210" s="35"/>
      <c r="JI210" s="35"/>
      <c r="JJ210" s="35"/>
      <c r="JK210" s="35"/>
      <c r="JL210" s="35"/>
      <c r="JM210" s="35"/>
      <c r="JN210" s="35"/>
      <c r="JO210" s="35"/>
      <c r="JP210" s="35"/>
      <c r="JQ210" s="35"/>
      <c r="JR210" s="35"/>
      <c r="JS210" s="35"/>
      <c r="JT210" s="35"/>
      <c r="JU210" s="35"/>
      <c r="JV210" s="35"/>
      <c r="JW210" s="35"/>
      <c r="JX210" s="35"/>
      <c r="JY210" s="35"/>
    </row>
    <row r="211">
      <c r="A211" s="28" t="s">
        <v>421</v>
      </c>
      <c r="B211" s="30"/>
      <c r="C211" s="78"/>
      <c r="D211" s="30"/>
      <c r="E211" s="31"/>
      <c r="F211" s="32"/>
      <c r="G211" s="32"/>
      <c r="H211" s="33"/>
      <c r="I211" s="72"/>
      <c r="J211" s="32"/>
      <c r="K211" s="33"/>
      <c r="L211" s="36" t="b">
        <v>0</v>
      </c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35"/>
      <c r="DX211" s="35"/>
      <c r="DY211" s="35"/>
      <c r="DZ211" s="35"/>
      <c r="EA211" s="35"/>
      <c r="EB211" s="35"/>
      <c r="EC211" s="35"/>
      <c r="ED211" s="35"/>
      <c r="EE211" s="35"/>
      <c r="EF211" s="35"/>
      <c r="EG211" s="35"/>
      <c r="EH211" s="35"/>
      <c r="EI211" s="35"/>
      <c r="EJ211" s="35"/>
      <c r="EK211" s="35"/>
      <c r="EL211" s="35"/>
      <c r="EM211" s="35"/>
      <c r="EN211" s="35"/>
      <c r="EO211" s="35"/>
      <c r="EP211" s="35"/>
      <c r="EQ211" s="35"/>
      <c r="ER211" s="35"/>
      <c r="ES211" s="35"/>
      <c r="ET211" s="35"/>
      <c r="EU211" s="35"/>
      <c r="EV211" s="35"/>
      <c r="EW211" s="35"/>
      <c r="EX211" s="35"/>
      <c r="EY211" s="35"/>
      <c r="EZ211" s="35"/>
      <c r="FA211" s="35"/>
      <c r="FB211" s="35"/>
      <c r="FC211" s="35"/>
      <c r="FD211" s="35"/>
      <c r="FE211" s="35"/>
      <c r="FF211" s="35"/>
      <c r="FG211" s="35"/>
      <c r="FH211" s="35"/>
      <c r="FI211" s="35"/>
      <c r="FJ211" s="35"/>
      <c r="FK211" s="35"/>
      <c r="FL211" s="35"/>
      <c r="FM211" s="35"/>
      <c r="FN211" s="35"/>
      <c r="FO211" s="35"/>
      <c r="FP211" s="35"/>
      <c r="FQ211" s="35"/>
      <c r="FR211" s="35"/>
      <c r="FS211" s="35"/>
      <c r="FT211" s="35"/>
      <c r="FU211" s="35"/>
      <c r="FV211" s="35"/>
      <c r="FW211" s="35"/>
      <c r="FX211" s="35"/>
      <c r="FY211" s="35"/>
      <c r="FZ211" s="35"/>
      <c r="GA211" s="35"/>
      <c r="GB211" s="35"/>
      <c r="GC211" s="35"/>
      <c r="GD211" s="35"/>
      <c r="GE211" s="35"/>
      <c r="GF211" s="35"/>
      <c r="GG211" s="35"/>
      <c r="GH211" s="35"/>
      <c r="GI211" s="35"/>
      <c r="GJ211" s="35"/>
      <c r="GK211" s="35"/>
      <c r="GL211" s="35"/>
      <c r="GM211" s="35"/>
      <c r="GN211" s="35"/>
      <c r="GO211" s="35"/>
      <c r="GP211" s="35"/>
      <c r="GQ211" s="35"/>
      <c r="GR211" s="35"/>
      <c r="GS211" s="35"/>
      <c r="GT211" s="35"/>
      <c r="GU211" s="35"/>
      <c r="GV211" s="35"/>
      <c r="GW211" s="35"/>
      <c r="GX211" s="35"/>
      <c r="GY211" s="35"/>
      <c r="GZ211" s="35"/>
      <c r="HA211" s="35"/>
      <c r="HB211" s="35"/>
      <c r="HC211" s="35"/>
      <c r="HD211" s="35"/>
      <c r="HE211" s="35"/>
      <c r="HF211" s="35"/>
      <c r="HG211" s="35"/>
      <c r="HH211" s="35"/>
      <c r="HI211" s="35"/>
      <c r="HJ211" s="35"/>
      <c r="HK211" s="35"/>
      <c r="HL211" s="35"/>
      <c r="HM211" s="35"/>
      <c r="HN211" s="35"/>
      <c r="HO211" s="35"/>
      <c r="HP211" s="35"/>
      <c r="HQ211" s="35"/>
      <c r="HR211" s="35"/>
      <c r="HS211" s="35"/>
      <c r="HT211" s="35"/>
      <c r="HU211" s="35"/>
      <c r="HV211" s="35"/>
      <c r="HW211" s="35"/>
      <c r="HX211" s="35"/>
      <c r="HY211" s="35"/>
      <c r="HZ211" s="35"/>
      <c r="IA211" s="35"/>
      <c r="IB211" s="35"/>
      <c r="IC211" s="35"/>
      <c r="ID211" s="35"/>
      <c r="IE211" s="35"/>
      <c r="IF211" s="35"/>
      <c r="IG211" s="35"/>
      <c r="IH211" s="35"/>
      <c r="II211" s="35"/>
      <c r="IJ211" s="35"/>
      <c r="IK211" s="35"/>
      <c r="IL211" s="35"/>
      <c r="IM211" s="35"/>
      <c r="IN211" s="35"/>
      <c r="IO211" s="35"/>
      <c r="IP211" s="35"/>
      <c r="IQ211" s="35"/>
      <c r="IR211" s="35"/>
      <c r="IS211" s="35"/>
      <c r="IT211" s="35"/>
      <c r="IU211" s="35"/>
      <c r="IV211" s="35"/>
      <c r="IW211" s="35"/>
      <c r="IX211" s="35"/>
      <c r="IY211" s="35"/>
      <c r="IZ211" s="35"/>
      <c r="JA211" s="35"/>
      <c r="JB211" s="35"/>
      <c r="JC211" s="35"/>
      <c r="JD211" s="35"/>
      <c r="JE211" s="35"/>
      <c r="JF211" s="35"/>
      <c r="JG211" s="35"/>
      <c r="JH211" s="35"/>
      <c r="JI211" s="35"/>
      <c r="JJ211" s="35"/>
      <c r="JK211" s="35"/>
      <c r="JL211" s="35"/>
      <c r="JM211" s="35"/>
      <c r="JN211" s="35"/>
      <c r="JO211" s="35"/>
      <c r="JP211" s="35"/>
      <c r="JQ211" s="35"/>
      <c r="JR211" s="35"/>
      <c r="JS211" s="35"/>
      <c r="JT211" s="35"/>
      <c r="JU211" s="35"/>
      <c r="JV211" s="35"/>
      <c r="JW211" s="35"/>
      <c r="JX211" s="35"/>
      <c r="JY211" s="35"/>
    </row>
    <row r="212">
      <c r="A212" s="28" t="s">
        <v>422</v>
      </c>
      <c r="B212" s="30"/>
      <c r="C212" s="78"/>
      <c r="D212" s="30"/>
      <c r="E212" s="31"/>
      <c r="F212" s="32"/>
      <c r="G212" s="32"/>
      <c r="H212" s="33"/>
      <c r="I212" s="72"/>
      <c r="J212" s="32"/>
      <c r="K212" s="33"/>
      <c r="L212" s="36" t="b">
        <v>0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B212" s="35"/>
      <c r="EC212" s="35"/>
      <c r="ED212" s="35"/>
      <c r="EE212" s="35"/>
      <c r="EF212" s="35"/>
      <c r="EG212" s="35"/>
      <c r="EH212" s="35"/>
      <c r="EI212" s="35"/>
      <c r="EJ212" s="35"/>
      <c r="EK212" s="35"/>
      <c r="EL212" s="35"/>
      <c r="EM212" s="35"/>
      <c r="EN212" s="35"/>
      <c r="EO212" s="35"/>
      <c r="EP212" s="35"/>
      <c r="EQ212" s="35"/>
      <c r="ER212" s="35"/>
      <c r="ES212" s="35"/>
      <c r="ET212" s="35"/>
      <c r="EU212" s="35"/>
      <c r="EV212" s="35"/>
      <c r="EW212" s="35"/>
      <c r="EX212" s="35"/>
      <c r="EY212" s="35"/>
      <c r="EZ212" s="35"/>
      <c r="FA212" s="35"/>
      <c r="FB212" s="35"/>
      <c r="FC212" s="35"/>
      <c r="FD212" s="35"/>
      <c r="FE212" s="35"/>
      <c r="FF212" s="35"/>
      <c r="FG212" s="35"/>
      <c r="FH212" s="35"/>
      <c r="FI212" s="35"/>
      <c r="FJ212" s="35"/>
      <c r="FK212" s="35"/>
      <c r="FL212" s="35"/>
      <c r="FM212" s="35"/>
      <c r="FN212" s="35"/>
      <c r="FO212" s="35"/>
      <c r="FP212" s="35"/>
      <c r="FQ212" s="35"/>
      <c r="FR212" s="35"/>
      <c r="FS212" s="35"/>
      <c r="FT212" s="35"/>
      <c r="FU212" s="35"/>
      <c r="FV212" s="35"/>
      <c r="FW212" s="35"/>
      <c r="FX212" s="35"/>
      <c r="FY212" s="35"/>
      <c r="FZ212" s="35"/>
      <c r="GA212" s="35"/>
      <c r="GB212" s="35"/>
      <c r="GC212" s="35"/>
      <c r="GD212" s="35"/>
      <c r="GE212" s="35"/>
      <c r="GF212" s="35"/>
      <c r="GG212" s="35"/>
      <c r="GH212" s="35"/>
      <c r="GI212" s="35"/>
      <c r="GJ212" s="35"/>
      <c r="GK212" s="35"/>
      <c r="GL212" s="35"/>
      <c r="GM212" s="35"/>
      <c r="GN212" s="35"/>
      <c r="GO212" s="35"/>
      <c r="GP212" s="35"/>
      <c r="GQ212" s="35"/>
      <c r="GR212" s="35"/>
      <c r="GS212" s="35"/>
      <c r="GT212" s="35"/>
      <c r="GU212" s="35"/>
      <c r="GV212" s="35"/>
      <c r="GW212" s="35"/>
      <c r="GX212" s="35"/>
      <c r="GY212" s="35"/>
      <c r="GZ212" s="35"/>
      <c r="HA212" s="35"/>
      <c r="HB212" s="35"/>
      <c r="HC212" s="35"/>
      <c r="HD212" s="35"/>
      <c r="HE212" s="35"/>
      <c r="HF212" s="35"/>
      <c r="HG212" s="35"/>
      <c r="HH212" s="35"/>
      <c r="HI212" s="35"/>
      <c r="HJ212" s="35"/>
      <c r="HK212" s="35"/>
      <c r="HL212" s="35"/>
      <c r="HM212" s="35"/>
      <c r="HN212" s="35"/>
      <c r="HO212" s="35"/>
      <c r="HP212" s="35"/>
      <c r="HQ212" s="35"/>
      <c r="HR212" s="35"/>
      <c r="HS212" s="35"/>
      <c r="HT212" s="35"/>
      <c r="HU212" s="35"/>
      <c r="HV212" s="35"/>
      <c r="HW212" s="35"/>
      <c r="HX212" s="35"/>
      <c r="HY212" s="35"/>
      <c r="HZ212" s="35"/>
      <c r="IA212" s="35"/>
      <c r="IB212" s="35"/>
      <c r="IC212" s="35"/>
      <c r="ID212" s="35"/>
      <c r="IE212" s="35"/>
      <c r="IF212" s="35"/>
      <c r="IG212" s="35"/>
      <c r="IH212" s="35"/>
      <c r="II212" s="35"/>
      <c r="IJ212" s="35"/>
      <c r="IK212" s="35"/>
      <c r="IL212" s="35"/>
      <c r="IM212" s="35"/>
      <c r="IN212" s="35"/>
      <c r="IO212" s="35"/>
      <c r="IP212" s="35"/>
      <c r="IQ212" s="35"/>
      <c r="IR212" s="35"/>
      <c r="IS212" s="35"/>
      <c r="IT212" s="35"/>
      <c r="IU212" s="35"/>
      <c r="IV212" s="35"/>
      <c r="IW212" s="35"/>
      <c r="IX212" s="35"/>
      <c r="IY212" s="35"/>
      <c r="IZ212" s="35"/>
      <c r="JA212" s="35"/>
      <c r="JB212" s="35"/>
      <c r="JC212" s="35"/>
      <c r="JD212" s="35"/>
      <c r="JE212" s="35"/>
      <c r="JF212" s="35"/>
      <c r="JG212" s="35"/>
      <c r="JH212" s="35"/>
      <c r="JI212" s="35"/>
      <c r="JJ212" s="35"/>
      <c r="JK212" s="35"/>
      <c r="JL212" s="35"/>
      <c r="JM212" s="35"/>
      <c r="JN212" s="35"/>
      <c r="JO212" s="35"/>
      <c r="JP212" s="35"/>
      <c r="JQ212" s="35"/>
      <c r="JR212" s="35"/>
      <c r="JS212" s="35"/>
      <c r="JT212" s="35"/>
      <c r="JU212" s="35"/>
      <c r="JV212" s="35"/>
      <c r="JW212" s="35"/>
      <c r="JX212" s="35"/>
      <c r="JY212" s="35"/>
    </row>
    <row r="213">
      <c r="A213" s="28" t="s">
        <v>423</v>
      </c>
      <c r="B213" s="30"/>
      <c r="C213" s="78"/>
      <c r="D213" s="30"/>
      <c r="E213" s="31"/>
      <c r="F213" s="32"/>
      <c r="G213" s="32"/>
      <c r="H213" s="33"/>
      <c r="I213" s="72"/>
      <c r="J213" s="32"/>
      <c r="K213" s="33"/>
      <c r="L213" s="36" t="b">
        <v>0</v>
      </c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35"/>
      <c r="DX213" s="35"/>
      <c r="DY213" s="35"/>
      <c r="DZ213" s="35"/>
      <c r="EA213" s="35"/>
      <c r="EB213" s="35"/>
      <c r="EC213" s="35"/>
      <c r="ED213" s="35"/>
      <c r="EE213" s="35"/>
      <c r="EF213" s="35"/>
      <c r="EG213" s="35"/>
      <c r="EH213" s="35"/>
      <c r="EI213" s="35"/>
      <c r="EJ213" s="35"/>
      <c r="EK213" s="35"/>
      <c r="EL213" s="35"/>
      <c r="EM213" s="35"/>
      <c r="EN213" s="35"/>
      <c r="EO213" s="35"/>
      <c r="EP213" s="35"/>
      <c r="EQ213" s="35"/>
      <c r="ER213" s="35"/>
      <c r="ES213" s="35"/>
      <c r="ET213" s="35"/>
      <c r="EU213" s="35"/>
      <c r="EV213" s="35"/>
      <c r="EW213" s="35"/>
      <c r="EX213" s="35"/>
      <c r="EY213" s="35"/>
      <c r="EZ213" s="35"/>
      <c r="FA213" s="35"/>
      <c r="FB213" s="35"/>
      <c r="FC213" s="35"/>
      <c r="FD213" s="35"/>
      <c r="FE213" s="35"/>
      <c r="FF213" s="35"/>
      <c r="FG213" s="35"/>
      <c r="FH213" s="35"/>
      <c r="FI213" s="35"/>
      <c r="FJ213" s="35"/>
      <c r="FK213" s="35"/>
      <c r="FL213" s="35"/>
      <c r="FM213" s="35"/>
      <c r="FN213" s="35"/>
      <c r="FO213" s="35"/>
      <c r="FP213" s="35"/>
      <c r="FQ213" s="35"/>
      <c r="FR213" s="35"/>
      <c r="FS213" s="35"/>
      <c r="FT213" s="35"/>
      <c r="FU213" s="35"/>
      <c r="FV213" s="35"/>
      <c r="FW213" s="35"/>
      <c r="FX213" s="35"/>
      <c r="FY213" s="35"/>
      <c r="FZ213" s="35"/>
      <c r="GA213" s="35"/>
      <c r="GB213" s="35"/>
      <c r="GC213" s="35"/>
      <c r="GD213" s="35"/>
      <c r="GE213" s="35"/>
      <c r="GF213" s="35"/>
      <c r="GG213" s="35"/>
      <c r="GH213" s="35"/>
      <c r="GI213" s="35"/>
      <c r="GJ213" s="35"/>
      <c r="GK213" s="35"/>
      <c r="GL213" s="35"/>
      <c r="GM213" s="35"/>
      <c r="GN213" s="35"/>
      <c r="GO213" s="35"/>
      <c r="GP213" s="35"/>
      <c r="GQ213" s="35"/>
      <c r="GR213" s="35"/>
      <c r="GS213" s="35"/>
      <c r="GT213" s="35"/>
      <c r="GU213" s="35"/>
      <c r="GV213" s="35"/>
      <c r="GW213" s="35"/>
      <c r="GX213" s="35"/>
      <c r="GY213" s="35"/>
      <c r="GZ213" s="35"/>
      <c r="HA213" s="35"/>
      <c r="HB213" s="35"/>
      <c r="HC213" s="35"/>
      <c r="HD213" s="35"/>
      <c r="HE213" s="35"/>
      <c r="HF213" s="35"/>
      <c r="HG213" s="35"/>
      <c r="HH213" s="35"/>
      <c r="HI213" s="35"/>
      <c r="HJ213" s="35"/>
      <c r="HK213" s="35"/>
      <c r="HL213" s="35"/>
      <c r="HM213" s="35"/>
      <c r="HN213" s="35"/>
      <c r="HO213" s="35"/>
      <c r="HP213" s="35"/>
      <c r="HQ213" s="35"/>
      <c r="HR213" s="35"/>
      <c r="HS213" s="35"/>
      <c r="HT213" s="35"/>
      <c r="HU213" s="35"/>
      <c r="HV213" s="35"/>
      <c r="HW213" s="35"/>
      <c r="HX213" s="35"/>
      <c r="HY213" s="35"/>
      <c r="HZ213" s="35"/>
      <c r="IA213" s="35"/>
      <c r="IB213" s="35"/>
      <c r="IC213" s="35"/>
      <c r="ID213" s="35"/>
      <c r="IE213" s="35"/>
      <c r="IF213" s="35"/>
      <c r="IG213" s="35"/>
      <c r="IH213" s="35"/>
      <c r="II213" s="35"/>
      <c r="IJ213" s="35"/>
      <c r="IK213" s="35"/>
      <c r="IL213" s="35"/>
      <c r="IM213" s="35"/>
      <c r="IN213" s="35"/>
      <c r="IO213" s="35"/>
      <c r="IP213" s="35"/>
      <c r="IQ213" s="35"/>
      <c r="IR213" s="35"/>
      <c r="IS213" s="35"/>
      <c r="IT213" s="35"/>
      <c r="IU213" s="35"/>
      <c r="IV213" s="35"/>
      <c r="IW213" s="35"/>
      <c r="IX213" s="35"/>
      <c r="IY213" s="35"/>
      <c r="IZ213" s="35"/>
      <c r="JA213" s="35"/>
      <c r="JB213" s="35"/>
      <c r="JC213" s="35"/>
      <c r="JD213" s="35"/>
      <c r="JE213" s="35"/>
      <c r="JF213" s="35"/>
      <c r="JG213" s="35"/>
      <c r="JH213" s="35"/>
      <c r="JI213" s="35"/>
      <c r="JJ213" s="35"/>
      <c r="JK213" s="35"/>
      <c r="JL213" s="35"/>
      <c r="JM213" s="35"/>
      <c r="JN213" s="35"/>
      <c r="JO213" s="35"/>
      <c r="JP213" s="35"/>
      <c r="JQ213" s="35"/>
      <c r="JR213" s="35"/>
      <c r="JS213" s="35"/>
      <c r="JT213" s="35"/>
      <c r="JU213" s="35"/>
      <c r="JV213" s="35"/>
      <c r="JW213" s="35"/>
      <c r="JX213" s="35"/>
      <c r="JY213" s="35"/>
    </row>
    <row r="214">
      <c r="A214" s="28" t="s">
        <v>424</v>
      </c>
      <c r="B214" s="30"/>
      <c r="C214" s="78"/>
      <c r="D214" s="30"/>
      <c r="E214" s="31"/>
      <c r="F214" s="32"/>
      <c r="G214" s="32"/>
      <c r="H214" s="33"/>
      <c r="I214" s="72"/>
      <c r="J214" s="32"/>
      <c r="K214" s="33"/>
      <c r="L214" s="36" t="b">
        <v>0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35"/>
      <c r="DX214" s="35"/>
      <c r="DY214" s="35"/>
      <c r="DZ214" s="35"/>
      <c r="EA214" s="35"/>
      <c r="EB214" s="35"/>
      <c r="EC214" s="35"/>
      <c r="ED214" s="35"/>
      <c r="EE214" s="35"/>
      <c r="EF214" s="35"/>
      <c r="EG214" s="35"/>
      <c r="EH214" s="35"/>
      <c r="EI214" s="35"/>
      <c r="EJ214" s="35"/>
      <c r="EK214" s="35"/>
      <c r="EL214" s="35"/>
      <c r="EM214" s="35"/>
      <c r="EN214" s="35"/>
      <c r="EO214" s="35"/>
      <c r="EP214" s="35"/>
      <c r="EQ214" s="35"/>
      <c r="ER214" s="35"/>
      <c r="ES214" s="35"/>
      <c r="ET214" s="35"/>
      <c r="EU214" s="35"/>
      <c r="EV214" s="35"/>
      <c r="EW214" s="35"/>
      <c r="EX214" s="35"/>
      <c r="EY214" s="35"/>
      <c r="EZ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  <c r="FS214" s="35"/>
      <c r="FT214" s="35"/>
      <c r="FU214" s="35"/>
      <c r="FV214" s="35"/>
      <c r="FW214" s="35"/>
      <c r="FX214" s="35"/>
      <c r="FY214" s="35"/>
      <c r="FZ214" s="35"/>
      <c r="GA214" s="35"/>
      <c r="GB214" s="35"/>
      <c r="GC214" s="35"/>
      <c r="GD214" s="35"/>
      <c r="GE214" s="35"/>
      <c r="GF214" s="35"/>
      <c r="GG214" s="35"/>
      <c r="GH214" s="35"/>
      <c r="GI214" s="35"/>
      <c r="GJ214" s="35"/>
      <c r="GK214" s="35"/>
      <c r="GL214" s="35"/>
      <c r="GM214" s="35"/>
      <c r="GN214" s="35"/>
      <c r="GO214" s="35"/>
      <c r="GP214" s="35"/>
      <c r="GQ214" s="35"/>
      <c r="GR214" s="35"/>
      <c r="GS214" s="35"/>
      <c r="GT214" s="35"/>
      <c r="GU214" s="35"/>
      <c r="GV214" s="35"/>
      <c r="GW214" s="35"/>
      <c r="GX214" s="35"/>
      <c r="GY214" s="35"/>
      <c r="GZ214" s="35"/>
      <c r="HA214" s="35"/>
      <c r="HB214" s="35"/>
      <c r="HC214" s="35"/>
      <c r="HD214" s="35"/>
      <c r="HE214" s="35"/>
      <c r="HF214" s="35"/>
      <c r="HG214" s="35"/>
      <c r="HH214" s="35"/>
      <c r="HI214" s="35"/>
      <c r="HJ214" s="35"/>
      <c r="HK214" s="35"/>
      <c r="HL214" s="35"/>
      <c r="HM214" s="35"/>
      <c r="HN214" s="35"/>
      <c r="HO214" s="35"/>
      <c r="HP214" s="35"/>
      <c r="HQ214" s="35"/>
      <c r="HR214" s="35"/>
      <c r="HS214" s="35"/>
      <c r="HT214" s="35"/>
      <c r="HU214" s="35"/>
      <c r="HV214" s="35"/>
      <c r="HW214" s="35"/>
      <c r="HX214" s="35"/>
      <c r="HY214" s="35"/>
      <c r="HZ214" s="35"/>
      <c r="IA214" s="35"/>
      <c r="IB214" s="35"/>
      <c r="IC214" s="35"/>
      <c r="ID214" s="35"/>
      <c r="IE214" s="35"/>
      <c r="IF214" s="35"/>
      <c r="IG214" s="35"/>
      <c r="IH214" s="35"/>
      <c r="II214" s="35"/>
      <c r="IJ214" s="35"/>
      <c r="IK214" s="35"/>
      <c r="IL214" s="35"/>
      <c r="IM214" s="35"/>
      <c r="IN214" s="35"/>
      <c r="IO214" s="35"/>
      <c r="IP214" s="35"/>
      <c r="IQ214" s="35"/>
      <c r="IR214" s="35"/>
      <c r="IS214" s="35"/>
      <c r="IT214" s="35"/>
      <c r="IU214" s="35"/>
      <c r="IV214" s="35"/>
      <c r="IW214" s="35"/>
      <c r="IX214" s="35"/>
      <c r="IY214" s="35"/>
      <c r="IZ214" s="35"/>
      <c r="JA214" s="35"/>
      <c r="JB214" s="35"/>
      <c r="JC214" s="35"/>
      <c r="JD214" s="35"/>
      <c r="JE214" s="35"/>
      <c r="JF214" s="35"/>
      <c r="JG214" s="35"/>
      <c r="JH214" s="35"/>
      <c r="JI214" s="35"/>
      <c r="JJ214" s="35"/>
      <c r="JK214" s="35"/>
      <c r="JL214" s="35"/>
      <c r="JM214" s="35"/>
      <c r="JN214" s="35"/>
      <c r="JO214" s="35"/>
      <c r="JP214" s="35"/>
      <c r="JQ214" s="35"/>
      <c r="JR214" s="35"/>
      <c r="JS214" s="35"/>
      <c r="JT214" s="35"/>
      <c r="JU214" s="35"/>
      <c r="JV214" s="35"/>
      <c r="JW214" s="35"/>
      <c r="JX214" s="35"/>
      <c r="JY214" s="35"/>
    </row>
    <row r="215">
      <c r="A215" s="28" t="s">
        <v>425</v>
      </c>
      <c r="B215" s="30"/>
      <c r="C215" s="78"/>
      <c r="D215" s="30"/>
      <c r="E215" s="31"/>
      <c r="F215" s="32"/>
      <c r="G215" s="32"/>
      <c r="H215" s="33"/>
      <c r="I215" s="72"/>
      <c r="J215" s="32"/>
      <c r="K215" s="33"/>
      <c r="L215" s="36" t="b">
        <v>0</v>
      </c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  <c r="DW215" s="35"/>
      <c r="DX215" s="35"/>
      <c r="DY215" s="35"/>
      <c r="DZ215" s="35"/>
      <c r="EA215" s="35"/>
      <c r="EB215" s="35"/>
      <c r="EC215" s="35"/>
      <c r="ED215" s="35"/>
      <c r="EE215" s="35"/>
      <c r="EF215" s="35"/>
      <c r="EG215" s="35"/>
      <c r="EH215" s="35"/>
      <c r="EI215" s="35"/>
      <c r="EJ215" s="35"/>
      <c r="EK215" s="35"/>
      <c r="EL215" s="35"/>
      <c r="EM215" s="35"/>
      <c r="EN215" s="35"/>
      <c r="EO215" s="35"/>
      <c r="EP215" s="35"/>
      <c r="EQ215" s="35"/>
      <c r="ER215" s="35"/>
      <c r="ES215" s="35"/>
      <c r="ET215" s="35"/>
      <c r="EU215" s="35"/>
      <c r="EV215" s="35"/>
      <c r="EW215" s="35"/>
      <c r="EX215" s="35"/>
      <c r="EY215" s="35"/>
      <c r="EZ215" s="35"/>
      <c r="FA215" s="35"/>
      <c r="FB215" s="35"/>
      <c r="FC215" s="35"/>
      <c r="FD215" s="35"/>
      <c r="FE215" s="35"/>
      <c r="FF215" s="35"/>
      <c r="FG215" s="35"/>
      <c r="FH215" s="35"/>
      <c r="FI215" s="35"/>
      <c r="FJ215" s="35"/>
      <c r="FK215" s="35"/>
      <c r="FL215" s="35"/>
      <c r="FM215" s="35"/>
      <c r="FN215" s="35"/>
      <c r="FO215" s="35"/>
      <c r="FP215" s="35"/>
      <c r="FQ215" s="35"/>
      <c r="FR215" s="35"/>
      <c r="FS215" s="35"/>
      <c r="FT215" s="35"/>
      <c r="FU215" s="35"/>
      <c r="FV215" s="35"/>
      <c r="FW215" s="35"/>
      <c r="FX215" s="35"/>
      <c r="FY215" s="35"/>
      <c r="FZ215" s="35"/>
      <c r="GA215" s="35"/>
      <c r="GB215" s="35"/>
      <c r="GC215" s="35"/>
      <c r="GD215" s="35"/>
      <c r="GE215" s="35"/>
      <c r="GF215" s="35"/>
      <c r="GG215" s="35"/>
      <c r="GH215" s="35"/>
      <c r="GI215" s="35"/>
      <c r="GJ215" s="35"/>
      <c r="GK215" s="35"/>
      <c r="GL215" s="35"/>
      <c r="GM215" s="35"/>
      <c r="GN215" s="35"/>
      <c r="GO215" s="35"/>
      <c r="GP215" s="35"/>
      <c r="GQ215" s="35"/>
      <c r="GR215" s="35"/>
      <c r="GS215" s="35"/>
      <c r="GT215" s="35"/>
      <c r="GU215" s="35"/>
      <c r="GV215" s="35"/>
      <c r="GW215" s="35"/>
      <c r="GX215" s="35"/>
      <c r="GY215" s="35"/>
      <c r="GZ215" s="35"/>
      <c r="HA215" s="35"/>
      <c r="HB215" s="35"/>
      <c r="HC215" s="35"/>
      <c r="HD215" s="35"/>
      <c r="HE215" s="35"/>
      <c r="HF215" s="35"/>
      <c r="HG215" s="35"/>
      <c r="HH215" s="35"/>
      <c r="HI215" s="35"/>
      <c r="HJ215" s="35"/>
      <c r="HK215" s="35"/>
      <c r="HL215" s="35"/>
      <c r="HM215" s="35"/>
      <c r="HN215" s="35"/>
      <c r="HO215" s="35"/>
      <c r="HP215" s="35"/>
      <c r="HQ215" s="35"/>
      <c r="HR215" s="35"/>
      <c r="HS215" s="35"/>
      <c r="HT215" s="35"/>
      <c r="HU215" s="35"/>
      <c r="HV215" s="35"/>
      <c r="HW215" s="35"/>
      <c r="HX215" s="35"/>
      <c r="HY215" s="35"/>
      <c r="HZ215" s="35"/>
      <c r="IA215" s="35"/>
      <c r="IB215" s="35"/>
      <c r="IC215" s="35"/>
      <c r="ID215" s="35"/>
      <c r="IE215" s="35"/>
      <c r="IF215" s="35"/>
      <c r="IG215" s="35"/>
      <c r="IH215" s="35"/>
      <c r="II215" s="35"/>
      <c r="IJ215" s="35"/>
      <c r="IK215" s="35"/>
      <c r="IL215" s="35"/>
      <c r="IM215" s="35"/>
      <c r="IN215" s="35"/>
      <c r="IO215" s="35"/>
      <c r="IP215" s="35"/>
      <c r="IQ215" s="35"/>
      <c r="IR215" s="35"/>
      <c r="IS215" s="35"/>
      <c r="IT215" s="35"/>
      <c r="IU215" s="35"/>
      <c r="IV215" s="35"/>
      <c r="IW215" s="35"/>
      <c r="IX215" s="35"/>
      <c r="IY215" s="35"/>
      <c r="IZ215" s="35"/>
      <c r="JA215" s="35"/>
      <c r="JB215" s="35"/>
      <c r="JC215" s="35"/>
      <c r="JD215" s="35"/>
      <c r="JE215" s="35"/>
      <c r="JF215" s="35"/>
      <c r="JG215" s="35"/>
      <c r="JH215" s="35"/>
      <c r="JI215" s="35"/>
      <c r="JJ215" s="35"/>
      <c r="JK215" s="35"/>
      <c r="JL215" s="35"/>
      <c r="JM215" s="35"/>
      <c r="JN215" s="35"/>
      <c r="JO215" s="35"/>
      <c r="JP215" s="35"/>
      <c r="JQ215" s="35"/>
      <c r="JR215" s="35"/>
      <c r="JS215" s="35"/>
      <c r="JT215" s="35"/>
      <c r="JU215" s="35"/>
      <c r="JV215" s="35"/>
      <c r="JW215" s="35"/>
      <c r="JX215" s="35"/>
      <c r="JY215" s="35"/>
    </row>
    <row r="216">
      <c r="A216" s="28" t="s">
        <v>426</v>
      </c>
      <c r="B216" s="30"/>
      <c r="C216" s="78"/>
      <c r="D216" s="30"/>
      <c r="E216" s="31"/>
      <c r="F216" s="32"/>
      <c r="G216" s="32"/>
      <c r="H216" s="33"/>
      <c r="I216" s="72"/>
      <c r="J216" s="32"/>
      <c r="K216" s="33"/>
      <c r="L216" s="36" t="b">
        <v>0</v>
      </c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  <c r="DL216" s="35"/>
      <c r="DM216" s="35"/>
      <c r="DN216" s="35"/>
      <c r="DO216" s="35"/>
      <c r="DP216" s="35"/>
      <c r="DQ216" s="35"/>
      <c r="DR216" s="35"/>
      <c r="DS216" s="35"/>
      <c r="DT216" s="35"/>
      <c r="DU216" s="35"/>
      <c r="DV216" s="35"/>
      <c r="DW216" s="35"/>
      <c r="DX216" s="35"/>
      <c r="DY216" s="35"/>
      <c r="DZ216" s="35"/>
      <c r="EA216" s="35"/>
      <c r="EB216" s="35"/>
      <c r="EC216" s="35"/>
      <c r="ED216" s="35"/>
      <c r="EE216" s="35"/>
      <c r="EF216" s="35"/>
      <c r="EG216" s="35"/>
      <c r="EH216" s="35"/>
      <c r="EI216" s="35"/>
      <c r="EJ216" s="35"/>
      <c r="EK216" s="35"/>
      <c r="EL216" s="35"/>
      <c r="EM216" s="35"/>
      <c r="EN216" s="35"/>
      <c r="EO216" s="35"/>
      <c r="EP216" s="35"/>
      <c r="EQ216" s="35"/>
      <c r="ER216" s="35"/>
      <c r="ES216" s="35"/>
      <c r="ET216" s="35"/>
      <c r="EU216" s="35"/>
      <c r="EV216" s="35"/>
      <c r="EW216" s="35"/>
      <c r="EX216" s="35"/>
      <c r="EY216" s="35"/>
      <c r="EZ216" s="35"/>
      <c r="FA216" s="35"/>
      <c r="FB216" s="35"/>
      <c r="FC216" s="35"/>
      <c r="FD216" s="35"/>
      <c r="FE216" s="35"/>
      <c r="FF216" s="35"/>
      <c r="FG216" s="35"/>
      <c r="FH216" s="35"/>
      <c r="FI216" s="35"/>
      <c r="FJ216" s="35"/>
      <c r="FK216" s="35"/>
      <c r="FL216" s="35"/>
      <c r="FM216" s="35"/>
      <c r="FN216" s="35"/>
      <c r="FO216" s="35"/>
      <c r="FP216" s="35"/>
      <c r="FQ216" s="35"/>
      <c r="FR216" s="35"/>
      <c r="FS216" s="35"/>
      <c r="FT216" s="35"/>
      <c r="FU216" s="35"/>
      <c r="FV216" s="35"/>
      <c r="FW216" s="35"/>
      <c r="FX216" s="35"/>
      <c r="FY216" s="35"/>
      <c r="FZ216" s="35"/>
      <c r="GA216" s="35"/>
      <c r="GB216" s="35"/>
      <c r="GC216" s="35"/>
      <c r="GD216" s="35"/>
      <c r="GE216" s="35"/>
      <c r="GF216" s="35"/>
      <c r="GG216" s="35"/>
      <c r="GH216" s="35"/>
      <c r="GI216" s="35"/>
      <c r="GJ216" s="35"/>
      <c r="GK216" s="35"/>
      <c r="GL216" s="35"/>
      <c r="GM216" s="35"/>
      <c r="GN216" s="35"/>
      <c r="GO216" s="35"/>
      <c r="GP216" s="35"/>
      <c r="GQ216" s="35"/>
      <c r="GR216" s="35"/>
      <c r="GS216" s="35"/>
      <c r="GT216" s="35"/>
      <c r="GU216" s="35"/>
      <c r="GV216" s="35"/>
      <c r="GW216" s="35"/>
      <c r="GX216" s="35"/>
      <c r="GY216" s="35"/>
      <c r="GZ216" s="35"/>
      <c r="HA216" s="35"/>
      <c r="HB216" s="35"/>
      <c r="HC216" s="35"/>
      <c r="HD216" s="35"/>
      <c r="HE216" s="35"/>
      <c r="HF216" s="35"/>
      <c r="HG216" s="35"/>
      <c r="HH216" s="35"/>
      <c r="HI216" s="35"/>
      <c r="HJ216" s="35"/>
      <c r="HK216" s="35"/>
      <c r="HL216" s="35"/>
      <c r="HM216" s="35"/>
      <c r="HN216" s="35"/>
      <c r="HO216" s="35"/>
      <c r="HP216" s="35"/>
      <c r="HQ216" s="35"/>
      <c r="HR216" s="35"/>
      <c r="HS216" s="35"/>
      <c r="HT216" s="35"/>
      <c r="HU216" s="35"/>
      <c r="HV216" s="35"/>
      <c r="HW216" s="35"/>
      <c r="HX216" s="35"/>
      <c r="HY216" s="35"/>
      <c r="HZ216" s="35"/>
      <c r="IA216" s="35"/>
      <c r="IB216" s="35"/>
      <c r="IC216" s="35"/>
      <c r="ID216" s="35"/>
      <c r="IE216" s="35"/>
      <c r="IF216" s="35"/>
      <c r="IG216" s="35"/>
      <c r="IH216" s="35"/>
      <c r="II216" s="35"/>
      <c r="IJ216" s="35"/>
      <c r="IK216" s="35"/>
      <c r="IL216" s="35"/>
      <c r="IM216" s="35"/>
      <c r="IN216" s="35"/>
      <c r="IO216" s="35"/>
      <c r="IP216" s="35"/>
      <c r="IQ216" s="35"/>
      <c r="IR216" s="35"/>
      <c r="IS216" s="35"/>
      <c r="IT216" s="35"/>
      <c r="IU216" s="35"/>
      <c r="IV216" s="35"/>
      <c r="IW216" s="35"/>
      <c r="IX216" s="35"/>
      <c r="IY216" s="35"/>
      <c r="IZ216" s="35"/>
      <c r="JA216" s="35"/>
      <c r="JB216" s="35"/>
      <c r="JC216" s="35"/>
      <c r="JD216" s="35"/>
      <c r="JE216" s="35"/>
      <c r="JF216" s="35"/>
      <c r="JG216" s="35"/>
      <c r="JH216" s="35"/>
      <c r="JI216" s="35"/>
      <c r="JJ216" s="35"/>
      <c r="JK216" s="35"/>
      <c r="JL216" s="35"/>
      <c r="JM216" s="35"/>
      <c r="JN216" s="35"/>
      <c r="JO216" s="35"/>
      <c r="JP216" s="35"/>
      <c r="JQ216" s="35"/>
      <c r="JR216" s="35"/>
      <c r="JS216" s="35"/>
      <c r="JT216" s="35"/>
      <c r="JU216" s="35"/>
      <c r="JV216" s="35"/>
      <c r="JW216" s="35"/>
      <c r="JX216" s="35"/>
      <c r="JY216" s="35"/>
    </row>
    <row r="217">
      <c r="A217" s="28" t="s">
        <v>427</v>
      </c>
      <c r="B217" s="30"/>
      <c r="C217" s="78"/>
      <c r="D217" s="30"/>
      <c r="E217" s="31"/>
      <c r="F217" s="32"/>
      <c r="G217" s="32"/>
      <c r="H217" s="33"/>
      <c r="I217" s="72"/>
      <c r="J217" s="32"/>
      <c r="K217" s="33"/>
      <c r="L217" s="36" t="b">
        <v>0</v>
      </c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  <c r="DW217" s="35"/>
      <c r="DX217" s="35"/>
      <c r="DY217" s="35"/>
      <c r="DZ217" s="35"/>
      <c r="EA217" s="35"/>
      <c r="EB217" s="35"/>
      <c r="EC217" s="35"/>
      <c r="ED217" s="35"/>
      <c r="EE217" s="35"/>
      <c r="EF217" s="35"/>
      <c r="EG217" s="35"/>
      <c r="EH217" s="35"/>
      <c r="EI217" s="35"/>
      <c r="EJ217" s="35"/>
      <c r="EK217" s="35"/>
      <c r="EL217" s="35"/>
      <c r="EM217" s="35"/>
      <c r="EN217" s="35"/>
      <c r="EO217" s="35"/>
      <c r="EP217" s="35"/>
      <c r="EQ217" s="35"/>
      <c r="ER217" s="35"/>
      <c r="ES217" s="35"/>
      <c r="ET217" s="35"/>
      <c r="EU217" s="35"/>
      <c r="EV217" s="35"/>
      <c r="EW217" s="35"/>
      <c r="EX217" s="35"/>
      <c r="EY217" s="35"/>
      <c r="EZ217" s="35"/>
      <c r="FA217" s="35"/>
      <c r="FB217" s="35"/>
      <c r="FC217" s="35"/>
      <c r="FD217" s="35"/>
      <c r="FE217" s="35"/>
      <c r="FF217" s="35"/>
      <c r="FG217" s="35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  <c r="FS217" s="35"/>
      <c r="FT217" s="35"/>
      <c r="FU217" s="35"/>
      <c r="FV217" s="35"/>
      <c r="FW217" s="35"/>
      <c r="FX217" s="35"/>
      <c r="FY217" s="35"/>
      <c r="FZ217" s="35"/>
      <c r="GA217" s="35"/>
      <c r="GB217" s="35"/>
      <c r="GC217" s="35"/>
      <c r="GD217" s="35"/>
      <c r="GE217" s="35"/>
      <c r="GF217" s="35"/>
      <c r="GG217" s="35"/>
      <c r="GH217" s="35"/>
      <c r="GI217" s="35"/>
      <c r="GJ217" s="35"/>
      <c r="GK217" s="35"/>
      <c r="GL217" s="35"/>
      <c r="GM217" s="35"/>
      <c r="GN217" s="35"/>
      <c r="GO217" s="35"/>
      <c r="GP217" s="35"/>
      <c r="GQ217" s="35"/>
      <c r="GR217" s="35"/>
      <c r="GS217" s="35"/>
      <c r="GT217" s="35"/>
      <c r="GU217" s="35"/>
      <c r="GV217" s="35"/>
      <c r="GW217" s="35"/>
      <c r="GX217" s="35"/>
      <c r="GY217" s="35"/>
      <c r="GZ217" s="35"/>
      <c r="HA217" s="35"/>
      <c r="HB217" s="35"/>
      <c r="HC217" s="35"/>
      <c r="HD217" s="35"/>
      <c r="HE217" s="35"/>
      <c r="HF217" s="35"/>
      <c r="HG217" s="35"/>
      <c r="HH217" s="35"/>
      <c r="HI217" s="35"/>
      <c r="HJ217" s="35"/>
      <c r="HK217" s="35"/>
      <c r="HL217" s="35"/>
      <c r="HM217" s="35"/>
      <c r="HN217" s="35"/>
      <c r="HO217" s="35"/>
      <c r="HP217" s="35"/>
      <c r="HQ217" s="35"/>
      <c r="HR217" s="35"/>
      <c r="HS217" s="35"/>
      <c r="HT217" s="35"/>
      <c r="HU217" s="35"/>
      <c r="HV217" s="35"/>
      <c r="HW217" s="35"/>
      <c r="HX217" s="35"/>
      <c r="HY217" s="35"/>
      <c r="HZ217" s="35"/>
      <c r="IA217" s="35"/>
      <c r="IB217" s="35"/>
      <c r="IC217" s="35"/>
      <c r="ID217" s="35"/>
      <c r="IE217" s="35"/>
      <c r="IF217" s="35"/>
      <c r="IG217" s="35"/>
      <c r="IH217" s="35"/>
      <c r="II217" s="35"/>
      <c r="IJ217" s="35"/>
      <c r="IK217" s="35"/>
      <c r="IL217" s="35"/>
      <c r="IM217" s="35"/>
      <c r="IN217" s="35"/>
      <c r="IO217" s="35"/>
      <c r="IP217" s="35"/>
      <c r="IQ217" s="35"/>
      <c r="IR217" s="35"/>
      <c r="IS217" s="35"/>
      <c r="IT217" s="35"/>
      <c r="IU217" s="35"/>
      <c r="IV217" s="35"/>
      <c r="IW217" s="35"/>
      <c r="IX217" s="35"/>
      <c r="IY217" s="35"/>
      <c r="IZ217" s="35"/>
      <c r="JA217" s="35"/>
      <c r="JB217" s="35"/>
      <c r="JC217" s="35"/>
      <c r="JD217" s="35"/>
      <c r="JE217" s="35"/>
      <c r="JF217" s="35"/>
      <c r="JG217" s="35"/>
      <c r="JH217" s="35"/>
      <c r="JI217" s="35"/>
      <c r="JJ217" s="35"/>
      <c r="JK217" s="35"/>
      <c r="JL217" s="35"/>
      <c r="JM217" s="35"/>
      <c r="JN217" s="35"/>
      <c r="JO217" s="35"/>
      <c r="JP217" s="35"/>
      <c r="JQ217" s="35"/>
      <c r="JR217" s="35"/>
      <c r="JS217" s="35"/>
      <c r="JT217" s="35"/>
      <c r="JU217" s="35"/>
      <c r="JV217" s="35"/>
      <c r="JW217" s="35"/>
      <c r="JX217" s="35"/>
      <c r="JY217" s="35"/>
    </row>
    <row r="218">
      <c r="A218" s="28" t="s">
        <v>428</v>
      </c>
      <c r="B218" s="30"/>
      <c r="C218" s="78"/>
      <c r="D218" s="30"/>
      <c r="E218" s="31"/>
      <c r="F218" s="32"/>
      <c r="G218" s="32"/>
      <c r="H218" s="33"/>
      <c r="I218" s="72"/>
      <c r="J218" s="32"/>
      <c r="K218" s="33"/>
      <c r="L218" s="36" t="b">
        <v>0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  <c r="DW218" s="35"/>
      <c r="DX218" s="35"/>
      <c r="DY218" s="35"/>
      <c r="DZ218" s="35"/>
      <c r="EA218" s="35"/>
      <c r="EB218" s="35"/>
      <c r="EC218" s="35"/>
      <c r="ED218" s="35"/>
      <c r="EE218" s="35"/>
      <c r="EF218" s="35"/>
      <c r="EG218" s="35"/>
      <c r="EH218" s="35"/>
      <c r="EI218" s="35"/>
      <c r="EJ218" s="35"/>
      <c r="EK218" s="35"/>
      <c r="EL218" s="35"/>
      <c r="EM218" s="35"/>
      <c r="EN218" s="35"/>
      <c r="EO218" s="35"/>
      <c r="EP218" s="35"/>
      <c r="EQ218" s="35"/>
      <c r="ER218" s="35"/>
      <c r="ES218" s="35"/>
      <c r="ET218" s="35"/>
      <c r="EU218" s="35"/>
      <c r="EV218" s="35"/>
      <c r="EW218" s="35"/>
      <c r="EX218" s="35"/>
      <c r="EY218" s="35"/>
      <c r="EZ218" s="35"/>
      <c r="FA218" s="35"/>
      <c r="FB218" s="35"/>
      <c r="FC218" s="35"/>
      <c r="FD218" s="35"/>
      <c r="FE218" s="35"/>
      <c r="FF218" s="35"/>
      <c r="FG218" s="35"/>
      <c r="FH218" s="35"/>
      <c r="FI218" s="35"/>
      <c r="FJ218" s="35"/>
      <c r="FK218" s="35"/>
      <c r="FL218" s="35"/>
      <c r="FM218" s="35"/>
      <c r="FN218" s="35"/>
      <c r="FO218" s="35"/>
      <c r="FP218" s="35"/>
      <c r="FQ218" s="35"/>
      <c r="FR218" s="35"/>
      <c r="FS218" s="35"/>
      <c r="FT218" s="35"/>
      <c r="FU218" s="35"/>
      <c r="FV218" s="35"/>
      <c r="FW218" s="35"/>
      <c r="FX218" s="35"/>
      <c r="FY218" s="35"/>
      <c r="FZ218" s="35"/>
      <c r="GA218" s="35"/>
      <c r="GB218" s="35"/>
      <c r="GC218" s="35"/>
      <c r="GD218" s="35"/>
      <c r="GE218" s="35"/>
      <c r="GF218" s="35"/>
      <c r="GG218" s="35"/>
      <c r="GH218" s="35"/>
      <c r="GI218" s="35"/>
      <c r="GJ218" s="35"/>
      <c r="GK218" s="35"/>
      <c r="GL218" s="35"/>
      <c r="GM218" s="35"/>
      <c r="GN218" s="35"/>
      <c r="GO218" s="35"/>
      <c r="GP218" s="35"/>
      <c r="GQ218" s="35"/>
      <c r="GR218" s="35"/>
      <c r="GS218" s="35"/>
      <c r="GT218" s="35"/>
      <c r="GU218" s="35"/>
      <c r="GV218" s="35"/>
      <c r="GW218" s="35"/>
      <c r="GX218" s="35"/>
      <c r="GY218" s="35"/>
      <c r="GZ218" s="35"/>
      <c r="HA218" s="35"/>
      <c r="HB218" s="35"/>
      <c r="HC218" s="35"/>
      <c r="HD218" s="35"/>
      <c r="HE218" s="35"/>
      <c r="HF218" s="35"/>
      <c r="HG218" s="35"/>
      <c r="HH218" s="35"/>
      <c r="HI218" s="35"/>
      <c r="HJ218" s="35"/>
      <c r="HK218" s="35"/>
      <c r="HL218" s="35"/>
      <c r="HM218" s="35"/>
      <c r="HN218" s="35"/>
      <c r="HO218" s="35"/>
      <c r="HP218" s="35"/>
      <c r="HQ218" s="35"/>
      <c r="HR218" s="35"/>
      <c r="HS218" s="35"/>
      <c r="HT218" s="35"/>
      <c r="HU218" s="35"/>
      <c r="HV218" s="35"/>
      <c r="HW218" s="35"/>
      <c r="HX218" s="35"/>
      <c r="HY218" s="35"/>
      <c r="HZ218" s="35"/>
      <c r="IA218" s="35"/>
      <c r="IB218" s="35"/>
      <c r="IC218" s="35"/>
      <c r="ID218" s="35"/>
      <c r="IE218" s="35"/>
      <c r="IF218" s="35"/>
      <c r="IG218" s="35"/>
      <c r="IH218" s="35"/>
      <c r="II218" s="35"/>
      <c r="IJ218" s="35"/>
      <c r="IK218" s="35"/>
      <c r="IL218" s="35"/>
      <c r="IM218" s="35"/>
      <c r="IN218" s="35"/>
      <c r="IO218" s="35"/>
      <c r="IP218" s="35"/>
      <c r="IQ218" s="35"/>
      <c r="IR218" s="35"/>
      <c r="IS218" s="35"/>
      <c r="IT218" s="35"/>
      <c r="IU218" s="35"/>
      <c r="IV218" s="35"/>
      <c r="IW218" s="35"/>
      <c r="IX218" s="35"/>
      <c r="IY218" s="35"/>
      <c r="IZ218" s="35"/>
      <c r="JA218" s="35"/>
      <c r="JB218" s="35"/>
      <c r="JC218" s="35"/>
      <c r="JD218" s="35"/>
      <c r="JE218" s="35"/>
      <c r="JF218" s="35"/>
      <c r="JG218" s="35"/>
      <c r="JH218" s="35"/>
      <c r="JI218" s="35"/>
      <c r="JJ218" s="35"/>
      <c r="JK218" s="35"/>
      <c r="JL218" s="35"/>
      <c r="JM218" s="35"/>
      <c r="JN218" s="35"/>
      <c r="JO218" s="35"/>
      <c r="JP218" s="35"/>
      <c r="JQ218" s="35"/>
      <c r="JR218" s="35"/>
      <c r="JS218" s="35"/>
      <c r="JT218" s="35"/>
      <c r="JU218" s="35"/>
      <c r="JV218" s="35"/>
      <c r="JW218" s="35"/>
      <c r="JX218" s="35"/>
      <c r="JY218" s="35"/>
    </row>
    <row r="219">
      <c r="A219" s="28" t="s">
        <v>429</v>
      </c>
      <c r="B219" s="30"/>
      <c r="C219" s="78"/>
      <c r="D219" s="30"/>
      <c r="E219" s="31"/>
      <c r="F219" s="32"/>
      <c r="G219" s="32"/>
      <c r="H219" s="33"/>
      <c r="I219" s="72"/>
      <c r="J219" s="32"/>
      <c r="K219" s="33"/>
      <c r="L219" s="36" t="b">
        <v>0</v>
      </c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HA219" s="35"/>
      <c r="HB219" s="35"/>
      <c r="HC219" s="35"/>
      <c r="HD219" s="35"/>
      <c r="HE219" s="35"/>
      <c r="HF219" s="35"/>
      <c r="HG219" s="35"/>
      <c r="HH219" s="35"/>
      <c r="HI219" s="35"/>
      <c r="HJ219" s="35"/>
      <c r="HK219" s="35"/>
      <c r="HL219" s="35"/>
      <c r="HM219" s="35"/>
      <c r="HN219" s="35"/>
      <c r="HO219" s="35"/>
      <c r="HP219" s="35"/>
      <c r="HQ219" s="35"/>
      <c r="HR219" s="35"/>
      <c r="HS219" s="35"/>
      <c r="HT219" s="35"/>
      <c r="HU219" s="35"/>
      <c r="HV219" s="35"/>
      <c r="HW219" s="35"/>
      <c r="HX219" s="35"/>
      <c r="HY219" s="35"/>
      <c r="HZ219" s="35"/>
      <c r="IA219" s="35"/>
      <c r="IB219" s="35"/>
      <c r="IC219" s="35"/>
      <c r="ID219" s="35"/>
      <c r="IE219" s="35"/>
      <c r="IF219" s="35"/>
      <c r="IG219" s="35"/>
      <c r="IH219" s="35"/>
      <c r="II219" s="35"/>
      <c r="IJ219" s="35"/>
      <c r="IK219" s="35"/>
      <c r="IL219" s="35"/>
      <c r="IM219" s="35"/>
      <c r="IN219" s="35"/>
      <c r="IO219" s="35"/>
      <c r="IP219" s="35"/>
      <c r="IQ219" s="35"/>
      <c r="IR219" s="35"/>
      <c r="IS219" s="35"/>
      <c r="IT219" s="35"/>
      <c r="IU219" s="35"/>
      <c r="IV219" s="35"/>
      <c r="IW219" s="35"/>
      <c r="IX219" s="35"/>
      <c r="IY219" s="35"/>
      <c r="IZ219" s="35"/>
      <c r="JA219" s="35"/>
      <c r="JB219" s="35"/>
      <c r="JC219" s="35"/>
      <c r="JD219" s="35"/>
      <c r="JE219" s="35"/>
      <c r="JF219" s="35"/>
      <c r="JG219" s="35"/>
      <c r="JH219" s="35"/>
      <c r="JI219" s="35"/>
      <c r="JJ219" s="35"/>
      <c r="JK219" s="35"/>
      <c r="JL219" s="35"/>
      <c r="JM219" s="35"/>
      <c r="JN219" s="35"/>
      <c r="JO219" s="35"/>
      <c r="JP219" s="35"/>
      <c r="JQ219" s="35"/>
      <c r="JR219" s="35"/>
      <c r="JS219" s="35"/>
      <c r="JT219" s="35"/>
      <c r="JU219" s="35"/>
      <c r="JV219" s="35"/>
      <c r="JW219" s="35"/>
      <c r="JX219" s="35"/>
      <c r="JY219" s="35"/>
    </row>
    <row r="220">
      <c r="A220" s="28" t="s">
        <v>430</v>
      </c>
      <c r="B220" s="30"/>
      <c r="C220" s="78"/>
      <c r="D220" s="30"/>
      <c r="E220" s="31"/>
      <c r="F220" s="32"/>
      <c r="G220" s="32"/>
      <c r="H220" s="33"/>
      <c r="I220" s="72"/>
      <c r="J220" s="32"/>
      <c r="K220" s="33"/>
      <c r="L220" s="36" t="b">
        <v>0</v>
      </c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  <c r="DW220" s="35"/>
      <c r="DX220" s="35"/>
      <c r="DY220" s="35"/>
      <c r="DZ220" s="35"/>
      <c r="EA220" s="35"/>
      <c r="EB220" s="35"/>
      <c r="EC220" s="35"/>
      <c r="ED220" s="35"/>
      <c r="EE220" s="35"/>
      <c r="EF220" s="35"/>
      <c r="EG220" s="35"/>
      <c r="EH220" s="35"/>
      <c r="EI220" s="35"/>
      <c r="EJ220" s="35"/>
      <c r="EK220" s="35"/>
      <c r="EL220" s="35"/>
      <c r="EM220" s="35"/>
      <c r="EN220" s="35"/>
      <c r="EO220" s="35"/>
      <c r="EP220" s="35"/>
      <c r="EQ220" s="35"/>
      <c r="ER220" s="35"/>
      <c r="ES220" s="35"/>
      <c r="ET220" s="35"/>
      <c r="EU220" s="35"/>
      <c r="EV220" s="35"/>
      <c r="EW220" s="35"/>
      <c r="EX220" s="35"/>
      <c r="EY220" s="35"/>
      <c r="EZ220" s="35"/>
      <c r="FA220" s="35"/>
      <c r="FB220" s="35"/>
      <c r="FC220" s="35"/>
      <c r="FD220" s="35"/>
      <c r="FE220" s="35"/>
      <c r="FF220" s="35"/>
      <c r="FG220" s="35"/>
      <c r="FH220" s="35"/>
      <c r="FI220" s="35"/>
      <c r="FJ220" s="35"/>
      <c r="FK220" s="35"/>
      <c r="FL220" s="35"/>
      <c r="FM220" s="35"/>
      <c r="FN220" s="35"/>
      <c r="FO220" s="35"/>
      <c r="FP220" s="35"/>
      <c r="FQ220" s="35"/>
      <c r="FR220" s="35"/>
      <c r="FS220" s="35"/>
      <c r="FT220" s="35"/>
      <c r="FU220" s="35"/>
      <c r="FV220" s="35"/>
      <c r="FW220" s="35"/>
      <c r="FX220" s="35"/>
      <c r="FY220" s="35"/>
      <c r="FZ220" s="35"/>
      <c r="GA220" s="35"/>
      <c r="GB220" s="35"/>
      <c r="GC220" s="35"/>
      <c r="GD220" s="35"/>
      <c r="GE220" s="35"/>
      <c r="GF220" s="35"/>
      <c r="GG220" s="35"/>
      <c r="GH220" s="35"/>
      <c r="GI220" s="35"/>
      <c r="GJ220" s="35"/>
      <c r="GK220" s="35"/>
      <c r="GL220" s="35"/>
      <c r="GM220" s="35"/>
      <c r="GN220" s="35"/>
      <c r="GO220" s="35"/>
      <c r="GP220" s="35"/>
      <c r="GQ220" s="35"/>
      <c r="GR220" s="35"/>
      <c r="GS220" s="35"/>
      <c r="GT220" s="35"/>
      <c r="GU220" s="35"/>
      <c r="GV220" s="35"/>
      <c r="GW220" s="35"/>
      <c r="GX220" s="35"/>
      <c r="GY220" s="35"/>
      <c r="GZ220" s="35"/>
      <c r="HA220" s="35"/>
      <c r="HB220" s="35"/>
      <c r="HC220" s="35"/>
      <c r="HD220" s="35"/>
      <c r="HE220" s="35"/>
      <c r="HF220" s="35"/>
      <c r="HG220" s="35"/>
      <c r="HH220" s="35"/>
      <c r="HI220" s="35"/>
      <c r="HJ220" s="35"/>
      <c r="HK220" s="35"/>
      <c r="HL220" s="35"/>
      <c r="HM220" s="35"/>
      <c r="HN220" s="35"/>
      <c r="HO220" s="35"/>
      <c r="HP220" s="35"/>
      <c r="HQ220" s="35"/>
      <c r="HR220" s="35"/>
      <c r="HS220" s="35"/>
      <c r="HT220" s="35"/>
      <c r="HU220" s="35"/>
      <c r="HV220" s="35"/>
      <c r="HW220" s="35"/>
      <c r="HX220" s="35"/>
      <c r="HY220" s="35"/>
      <c r="HZ220" s="35"/>
      <c r="IA220" s="35"/>
      <c r="IB220" s="35"/>
      <c r="IC220" s="35"/>
      <c r="ID220" s="35"/>
      <c r="IE220" s="35"/>
      <c r="IF220" s="35"/>
      <c r="IG220" s="35"/>
      <c r="IH220" s="35"/>
      <c r="II220" s="35"/>
      <c r="IJ220" s="35"/>
      <c r="IK220" s="35"/>
      <c r="IL220" s="35"/>
      <c r="IM220" s="35"/>
      <c r="IN220" s="35"/>
      <c r="IO220" s="35"/>
      <c r="IP220" s="35"/>
      <c r="IQ220" s="35"/>
      <c r="IR220" s="35"/>
      <c r="IS220" s="35"/>
      <c r="IT220" s="35"/>
      <c r="IU220" s="35"/>
      <c r="IV220" s="35"/>
      <c r="IW220" s="35"/>
      <c r="IX220" s="35"/>
      <c r="IY220" s="35"/>
      <c r="IZ220" s="35"/>
      <c r="JA220" s="35"/>
      <c r="JB220" s="35"/>
      <c r="JC220" s="35"/>
      <c r="JD220" s="35"/>
      <c r="JE220" s="35"/>
      <c r="JF220" s="35"/>
      <c r="JG220" s="35"/>
      <c r="JH220" s="35"/>
      <c r="JI220" s="35"/>
      <c r="JJ220" s="35"/>
      <c r="JK220" s="35"/>
      <c r="JL220" s="35"/>
      <c r="JM220" s="35"/>
      <c r="JN220" s="35"/>
      <c r="JO220" s="35"/>
      <c r="JP220" s="35"/>
      <c r="JQ220" s="35"/>
      <c r="JR220" s="35"/>
      <c r="JS220" s="35"/>
      <c r="JT220" s="35"/>
      <c r="JU220" s="35"/>
      <c r="JV220" s="35"/>
      <c r="JW220" s="35"/>
      <c r="JX220" s="35"/>
      <c r="JY220" s="35"/>
    </row>
    <row r="221">
      <c r="A221" s="28" t="s">
        <v>431</v>
      </c>
      <c r="B221" s="30"/>
      <c r="C221" s="78"/>
      <c r="D221" s="30"/>
      <c r="E221" s="31"/>
      <c r="F221" s="32"/>
      <c r="G221" s="32"/>
      <c r="H221" s="33"/>
      <c r="I221" s="72"/>
      <c r="J221" s="32"/>
      <c r="K221" s="33"/>
      <c r="L221" s="36" t="b">
        <v>0</v>
      </c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  <c r="EQ221" s="35"/>
      <c r="ER221" s="35"/>
      <c r="ES221" s="35"/>
      <c r="ET221" s="35"/>
      <c r="EU221" s="35"/>
      <c r="EV221" s="35"/>
      <c r="EW221" s="35"/>
      <c r="EX221" s="35"/>
      <c r="EY221" s="35"/>
      <c r="EZ221" s="35"/>
      <c r="FA221" s="35"/>
      <c r="FB221" s="35"/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  <c r="FS221" s="35"/>
      <c r="FT221" s="35"/>
      <c r="FU221" s="35"/>
      <c r="FV221" s="35"/>
      <c r="FW221" s="35"/>
      <c r="FX221" s="35"/>
      <c r="FY221" s="35"/>
      <c r="FZ221" s="35"/>
      <c r="GA221" s="35"/>
      <c r="GB221" s="35"/>
      <c r="GC221" s="35"/>
      <c r="GD221" s="35"/>
      <c r="GE221" s="35"/>
      <c r="GF221" s="35"/>
      <c r="GG221" s="35"/>
      <c r="GH221" s="35"/>
      <c r="GI221" s="35"/>
      <c r="GJ221" s="35"/>
      <c r="GK221" s="35"/>
      <c r="GL221" s="35"/>
      <c r="GM221" s="35"/>
      <c r="GN221" s="35"/>
      <c r="GO221" s="35"/>
      <c r="GP221" s="35"/>
      <c r="GQ221" s="35"/>
      <c r="GR221" s="35"/>
      <c r="GS221" s="35"/>
      <c r="GT221" s="35"/>
      <c r="GU221" s="35"/>
      <c r="GV221" s="35"/>
      <c r="GW221" s="35"/>
      <c r="GX221" s="35"/>
      <c r="GY221" s="35"/>
      <c r="GZ221" s="35"/>
      <c r="HA221" s="35"/>
      <c r="HB221" s="35"/>
      <c r="HC221" s="35"/>
      <c r="HD221" s="35"/>
      <c r="HE221" s="35"/>
      <c r="HF221" s="35"/>
      <c r="HG221" s="35"/>
      <c r="HH221" s="35"/>
      <c r="HI221" s="35"/>
      <c r="HJ221" s="35"/>
      <c r="HK221" s="35"/>
      <c r="HL221" s="35"/>
      <c r="HM221" s="35"/>
      <c r="HN221" s="35"/>
      <c r="HO221" s="35"/>
      <c r="HP221" s="35"/>
      <c r="HQ221" s="35"/>
      <c r="HR221" s="35"/>
      <c r="HS221" s="35"/>
      <c r="HT221" s="35"/>
      <c r="HU221" s="35"/>
      <c r="HV221" s="35"/>
      <c r="HW221" s="35"/>
      <c r="HX221" s="35"/>
      <c r="HY221" s="35"/>
      <c r="HZ221" s="35"/>
      <c r="IA221" s="35"/>
      <c r="IB221" s="35"/>
      <c r="IC221" s="35"/>
      <c r="ID221" s="35"/>
      <c r="IE221" s="35"/>
      <c r="IF221" s="35"/>
      <c r="IG221" s="35"/>
      <c r="IH221" s="35"/>
      <c r="II221" s="35"/>
      <c r="IJ221" s="35"/>
      <c r="IK221" s="35"/>
      <c r="IL221" s="35"/>
      <c r="IM221" s="35"/>
      <c r="IN221" s="35"/>
      <c r="IO221" s="35"/>
      <c r="IP221" s="35"/>
      <c r="IQ221" s="35"/>
      <c r="IR221" s="35"/>
      <c r="IS221" s="35"/>
      <c r="IT221" s="35"/>
      <c r="IU221" s="35"/>
      <c r="IV221" s="35"/>
      <c r="IW221" s="35"/>
      <c r="IX221" s="35"/>
      <c r="IY221" s="35"/>
      <c r="IZ221" s="35"/>
      <c r="JA221" s="35"/>
      <c r="JB221" s="35"/>
      <c r="JC221" s="35"/>
      <c r="JD221" s="35"/>
      <c r="JE221" s="35"/>
      <c r="JF221" s="35"/>
      <c r="JG221" s="35"/>
      <c r="JH221" s="35"/>
      <c r="JI221" s="35"/>
      <c r="JJ221" s="35"/>
      <c r="JK221" s="35"/>
      <c r="JL221" s="35"/>
      <c r="JM221" s="35"/>
      <c r="JN221" s="35"/>
      <c r="JO221" s="35"/>
      <c r="JP221" s="35"/>
      <c r="JQ221" s="35"/>
      <c r="JR221" s="35"/>
      <c r="JS221" s="35"/>
      <c r="JT221" s="35"/>
      <c r="JU221" s="35"/>
      <c r="JV221" s="35"/>
      <c r="JW221" s="35"/>
      <c r="JX221" s="35"/>
      <c r="JY221" s="35"/>
    </row>
    <row r="222">
      <c r="A222" s="28" t="s">
        <v>432</v>
      </c>
      <c r="B222" s="30"/>
      <c r="C222" s="78"/>
      <c r="D222" s="30"/>
      <c r="E222" s="31"/>
      <c r="F222" s="32"/>
      <c r="G222" s="32"/>
      <c r="H222" s="33"/>
      <c r="I222" s="72"/>
      <c r="J222" s="32"/>
      <c r="K222" s="33"/>
      <c r="L222" s="36" t="b">
        <v>0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  <c r="DW222" s="35"/>
      <c r="DX222" s="35"/>
      <c r="DY222" s="35"/>
      <c r="DZ222" s="35"/>
      <c r="EA222" s="35"/>
      <c r="EB222" s="35"/>
      <c r="EC222" s="35"/>
      <c r="ED222" s="35"/>
      <c r="EE222" s="35"/>
      <c r="EF222" s="35"/>
      <c r="EG222" s="35"/>
      <c r="EH222" s="35"/>
      <c r="EI222" s="35"/>
      <c r="EJ222" s="35"/>
      <c r="EK222" s="35"/>
      <c r="EL222" s="35"/>
      <c r="EM222" s="35"/>
      <c r="EN222" s="35"/>
      <c r="EO222" s="35"/>
      <c r="EP222" s="35"/>
      <c r="EQ222" s="35"/>
      <c r="ER222" s="35"/>
      <c r="ES222" s="35"/>
      <c r="ET222" s="35"/>
      <c r="EU222" s="35"/>
      <c r="EV222" s="35"/>
      <c r="EW222" s="35"/>
      <c r="EX222" s="35"/>
      <c r="EY222" s="35"/>
      <c r="EZ222" s="35"/>
      <c r="FA222" s="35"/>
      <c r="FB222" s="35"/>
      <c r="FC222" s="35"/>
      <c r="FD222" s="35"/>
      <c r="FE222" s="35"/>
      <c r="FF222" s="35"/>
      <c r="FG222" s="35"/>
      <c r="FH222" s="35"/>
      <c r="FI222" s="35"/>
      <c r="FJ222" s="35"/>
      <c r="FK222" s="35"/>
      <c r="FL222" s="35"/>
      <c r="FM222" s="35"/>
      <c r="FN222" s="35"/>
      <c r="FO222" s="35"/>
      <c r="FP222" s="35"/>
      <c r="FQ222" s="35"/>
      <c r="FR222" s="35"/>
      <c r="FS222" s="35"/>
      <c r="FT222" s="35"/>
      <c r="FU222" s="35"/>
      <c r="FV222" s="35"/>
      <c r="FW222" s="35"/>
      <c r="FX222" s="35"/>
      <c r="FY222" s="35"/>
      <c r="FZ222" s="35"/>
      <c r="GA222" s="35"/>
      <c r="GB222" s="35"/>
      <c r="GC222" s="35"/>
      <c r="GD222" s="35"/>
      <c r="GE222" s="35"/>
      <c r="GF222" s="35"/>
      <c r="GG222" s="35"/>
      <c r="GH222" s="35"/>
      <c r="GI222" s="35"/>
      <c r="GJ222" s="35"/>
      <c r="GK222" s="35"/>
      <c r="GL222" s="35"/>
      <c r="GM222" s="35"/>
      <c r="GN222" s="35"/>
      <c r="GO222" s="35"/>
      <c r="GP222" s="35"/>
      <c r="GQ222" s="35"/>
      <c r="GR222" s="35"/>
      <c r="GS222" s="35"/>
      <c r="GT222" s="35"/>
      <c r="GU222" s="35"/>
      <c r="GV222" s="35"/>
      <c r="GW222" s="35"/>
      <c r="GX222" s="35"/>
      <c r="GY222" s="35"/>
      <c r="GZ222" s="35"/>
      <c r="HA222" s="35"/>
      <c r="HB222" s="35"/>
      <c r="HC222" s="35"/>
      <c r="HD222" s="35"/>
      <c r="HE222" s="35"/>
      <c r="HF222" s="35"/>
      <c r="HG222" s="35"/>
      <c r="HH222" s="35"/>
      <c r="HI222" s="35"/>
      <c r="HJ222" s="35"/>
      <c r="HK222" s="35"/>
      <c r="HL222" s="35"/>
      <c r="HM222" s="35"/>
      <c r="HN222" s="35"/>
      <c r="HO222" s="35"/>
      <c r="HP222" s="35"/>
      <c r="HQ222" s="35"/>
      <c r="HR222" s="35"/>
      <c r="HS222" s="35"/>
      <c r="HT222" s="35"/>
      <c r="HU222" s="35"/>
      <c r="HV222" s="35"/>
      <c r="HW222" s="35"/>
      <c r="HX222" s="35"/>
      <c r="HY222" s="35"/>
      <c r="HZ222" s="35"/>
      <c r="IA222" s="35"/>
      <c r="IB222" s="35"/>
      <c r="IC222" s="35"/>
      <c r="ID222" s="35"/>
      <c r="IE222" s="35"/>
      <c r="IF222" s="35"/>
      <c r="IG222" s="35"/>
      <c r="IH222" s="35"/>
      <c r="II222" s="35"/>
      <c r="IJ222" s="35"/>
      <c r="IK222" s="35"/>
      <c r="IL222" s="35"/>
      <c r="IM222" s="35"/>
      <c r="IN222" s="35"/>
      <c r="IO222" s="35"/>
      <c r="IP222" s="35"/>
      <c r="IQ222" s="35"/>
      <c r="IR222" s="35"/>
      <c r="IS222" s="35"/>
      <c r="IT222" s="35"/>
      <c r="IU222" s="35"/>
      <c r="IV222" s="35"/>
      <c r="IW222" s="35"/>
      <c r="IX222" s="35"/>
      <c r="IY222" s="35"/>
      <c r="IZ222" s="35"/>
      <c r="JA222" s="35"/>
      <c r="JB222" s="35"/>
      <c r="JC222" s="35"/>
      <c r="JD222" s="35"/>
      <c r="JE222" s="35"/>
      <c r="JF222" s="35"/>
      <c r="JG222" s="35"/>
      <c r="JH222" s="35"/>
      <c r="JI222" s="35"/>
      <c r="JJ222" s="35"/>
      <c r="JK222" s="35"/>
      <c r="JL222" s="35"/>
      <c r="JM222" s="35"/>
      <c r="JN222" s="35"/>
      <c r="JO222" s="35"/>
      <c r="JP222" s="35"/>
      <c r="JQ222" s="35"/>
      <c r="JR222" s="35"/>
      <c r="JS222" s="35"/>
      <c r="JT222" s="35"/>
      <c r="JU222" s="35"/>
      <c r="JV222" s="35"/>
      <c r="JW222" s="35"/>
      <c r="JX222" s="35"/>
      <c r="JY222" s="35"/>
    </row>
    <row r="223">
      <c r="A223" s="28" t="s">
        <v>433</v>
      </c>
      <c r="B223" s="30"/>
      <c r="C223" s="78"/>
      <c r="D223" s="30"/>
      <c r="E223" s="31"/>
      <c r="F223" s="32"/>
      <c r="G223" s="32"/>
      <c r="H223" s="33"/>
      <c r="I223" s="72"/>
      <c r="J223" s="32"/>
      <c r="K223" s="33"/>
      <c r="L223" s="36" t="b">
        <v>0</v>
      </c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35"/>
      <c r="DX223" s="35"/>
      <c r="DY223" s="35"/>
      <c r="DZ223" s="35"/>
      <c r="EA223" s="35"/>
      <c r="EB223" s="35"/>
      <c r="EC223" s="35"/>
      <c r="ED223" s="35"/>
      <c r="EE223" s="35"/>
      <c r="EF223" s="35"/>
      <c r="EG223" s="35"/>
      <c r="EH223" s="35"/>
      <c r="EI223" s="35"/>
      <c r="EJ223" s="35"/>
      <c r="EK223" s="35"/>
      <c r="EL223" s="35"/>
      <c r="EM223" s="35"/>
      <c r="EN223" s="35"/>
      <c r="EO223" s="35"/>
      <c r="EP223" s="35"/>
      <c r="EQ223" s="35"/>
      <c r="ER223" s="35"/>
      <c r="ES223" s="35"/>
      <c r="ET223" s="35"/>
      <c r="EU223" s="35"/>
      <c r="EV223" s="35"/>
      <c r="EW223" s="35"/>
      <c r="EX223" s="35"/>
      <c r="EY223" s="35"/>
      <c r="EZ223" s="35"/>
      <c r="FA223" s="35"/>
      <c r="FB223" s="35"/>
      <c r="FC223" s="35"/>
      <c r="FD223" s="35"/>
      <c r="FE223" s="35"/>
      <c r="FF223" s="35"/>
      <c r="FG223" s="35"/>
      <c r="FH223" s="35"/>
      <c r="FI223" s="35"/>
      <c r="FJ223" s="35"/>
      <c r="FK223" s="35"/>
      <c r="FL223" s="35"/>
      <c r="FM223" s="35"/>
      <c r="FN223" s="35"/>
      <c r="FO223" s="35"/>
      <c r="FP223" s="35"/>
      <c r="FQ223" s="35"/>
      <c r="FR223" s="35"/>
      <c r="FS223" s="35"/>
      <c r="FT223" s="35"/>
      <c r="FU223" s="35"/>
      <c r="FV223" s="35"/>
      <c r="FW223" s="35"/>
      <c r="FX223" s="35"/>
      <c r="FY223" s="35"/>
      <c r="FZ223" s="35"/>
      <c r="GA223" s="35"/>
      <c r="GB223" s="35"/>
      <c r="GC223" s="35"/>
      <c r="GD223" s="35"/>
      <c r="GE223" s="35"/>
      <c r="GF223" s="35"/>
      <c r="GG223" s="35"/>
      <c r="GH223" s="35"/>
      <c r="GI223" s="35"/>
      <c r="GJ223" s="35"/>
      <c r="GK223" s="35"/>
      <c r="GL223" s="35"/>
      <c r="GM223" s="35"/>
      <c r="GN223" s="35"/>
      <c r="GO223" s="35"/>
      <c r="GP223" s="35"/>
      <c r="GQ223" s="35"/>
      <c r="GR223" s="35"/>
      <c r="GS223" s="35"/>
      <c r="GT223" s="35"/>
      <c r="GU223" s="35"/>
      <c r="GV223" s="35"/>
      <c r="GW223" s="35"/>
      <c r="GX223" s="35"/>
      <c r="GY223" s="35"/>
      <c r="GZ223" s="35"/>
      <c r="HA223" s="35"/>
      <c r="HB223" s="35"/>
      <c r="HC223" s="35"/>
      <c r="HD223" s="35"/>
      <c r="HE223" s="35"/>
      <c r="HF223" s="35"/>
      <c r="HG223" s="35"/>
      <c r="HH223" s="35"/>
      <c r="HI223" s="35"/>
      <c r="HJ223" s="35"/>
      <c r="HK223" s="35"/>
      <c r="HL223" s="35"/>
      <c r="HM223" s="35"/>
      <c r="HN223" s="35"/>
      <c r="HO223" s="35"/>
      <c r="HP223" s="35"/>
      <c r="HQ223" s="35"/>
      <c r="HR223" s="35"/>
      <c r="HS223" s="35"/>
      <c r="HT223" s="35"/>
      <c r="HU223" s="35"/>
      <c r="HV223" s="35"/>
      <c r="HW223" s="35"/>
      <c r="HX223" s="35"/>
      <c r="HY223" s="35"/>
      <c r="HZ223" s="35"/>
      <c r="IA223" s="35"/>
      <c r="IB223" s="35"/>
      <c r="IC223" s="35"/>
      <c r="ID223" s="35"/>
      <c r="IE223" s="35"/>
      <c r="IF223" s="35"/>
      <c r="IG223" s="35"/>
      <c r="IH223" s="35"/>
      <c r="II223" s="35"/>
      <c r="IJ223" s="35"/>
      <c r="IK223" s="35"/>
      <c r="IL223" s="35"/>
      <c r="IM223" s="35"/>
      <c r="IN223" s="35"/>
      <c r="IO223" s="35"/>
      <c r="IP223" s="35"/>
      <c r="IQ223" s="35"/>
      <c r="IR223" s="35"/>
      <c r="IS223" s="35"/>
      <c r="IT223" s="35"/>
      <c r="IU223" s="35"/>
      <c r="IV223" s="35"/>
      <c r="IW223" s="35"/>
      <c r="IX223" s="35"/>
      <c r="IY223" s="35"/>
      <c r="IZ223" s="35"/>
      <c r="JA223" s="35"/>
      <c r="JB223" s="35"/>
      <c r="JC223" s="35"/>
      <c r="JD223" s="35"/>
      <c r="JE223" s="35"/>
      <c r="JF223" s="35"/>
      <c r="JG223" s="35"/>
      <c r="JH223" s="35"/>
      <c r="JI223" s="35"/>
      <c r="JJ223" s="35"/>
      <c r="JK223" s="35"/>
      <c r="JL223" s="35"/>
      <c r="JM223" s="35"/>
      <c r="JN223" s="35"/>
      <c r="JO223" s="35"/>
      <c r="JP223" s="35"/>
      <c r="JQ223" s="35"/>
      <c r="JR223" s="35"/>
      <c r="JS223" s="35"/>
      <c r="JT223" s="35"/>
      <c r="JU223" s="35"/>
      <c r="JV223" s="35"/>
      <c r="JW223" s="35"/>
      <c r="JX223" s="35"/>
      <c r="JY223" s="35"/>
    </row>
    <row r="224">
      <c r="A224" s="28" t="s">
        <v>434</v>
      </c>
      <c r="B224" s="30"/>
      <c r="C224" s="78"/>
      <c r="D224" s="30"/>
      <c r="E224" s="31"/>
      <c r="F224" s="32"/>
      <c r="G224" s="32"/>
      <c r="H224" s="33"/>
      <c r="I224" s="72"/>
      <c r="J224" s="32"/>
      <c r="K224" s="33"/>
      <c r="L224" s="36" t="b">
        <v>0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  <c r="DL224" s="35"/>
      <c r="DM224" s="35"/>
      <c r="DN224" s="35"/>
      <c r="DO224" s="35"/>
      <c r="DP224" s="35"/>
      <c r="DQ224" s="35"/>
      <c r="DR224" s="35"/>
      <c r="DS224" s="35"/>
      <c r="DT224" s="35"/>
      <c r="DU224" s="35"/>
      <c r="DV224" s="35"/>
      <c r="DW224" s="35"/>
      <c r="DX224" s="35"/>
      <c r="DY224" s="35"/>
      <c r="DZ224" s="35"/>
      <c r="EA224" s="35"/>
      <c r="EB224" s="35"/>
      <c r="EC224" s="35"/>
      <c r="ED224" s="35"/>
      <c r="EE224" s="35"/>
      <c r="EF224" s="35"/>
      <c r="EG224" s="35"/>
      <c r="EH224" s="35"/>
      <c r="EI224" s="35"/>
      <c r="EJ224" s="35"/>
      <c r="EK224" s="35"/>
      <c r="EL224" s="35"/>
      <c r="EM224" s="35"/>
      <c r="EN224" s="35"/>
      <c r="EO224" s="35"/>
      <c r="EP224" s="35"/>
      <c r="EQ224" s="35"/>
      <c r="ER224" s="35"/>
      <c r="ES224" s="35"/>
      <c r="ET224" s="35"/>
      <c r="EU224" s="35"/>
      <c r="EV224" s="35"/>
      <c r="EW224" s="35"/>
      <c r="EX224" s="35"/>
      <c r="EY224" s="35"/>
      <c r="EZ224" s="35"/>
      <c r="FA224" s="35"/>
      <c r="FB224" s="35"/>
      <c r="FC224" s="35"/>
      <c r="FD224" s="35"/>
      <c r="FE224" s="35"/>
      <c r="FF224" s="35"/>
      <c r="FG224" s="35"/>
      <c r="FH224" s="35"/>
      <c r="FI224" s="35"/>
      <c r="FJ224" s="35"/>
      <c r="FK224" s="35"/>
      <c r="FL224" s="35"/>
      <c r="FM224" s="35"/>
      <c r="FN224" s="35"/>
      <c r="FO224" s="35"/>
      <c r="FP224" s="35"/>
      <c r="FQ224" s="35"/>
      <c r="FR224" s="35"/>
      <c r="FS224" s="35"/>
      <c r="FT224" s="35"/>
      <c r="FU224" s="35"/>
      <c r="FV224" s="35"/>
      <c r="FW224" s="35"/>
      <c r="FX224" s="35"/>
      <c r="FY224" s="35"/>
      <c r="FZ224" s="35"/>
      <c r="GA224" s="35"/>
      <c r="GB224" s="35"/>
      <c r="GC224" s="35"/>
      <c r="GD224" s="35"/>
      <c r="GE224" s="35"/>
      <c r="GF224" s="35"/>
      <c r="GG224" s="35"/>
      <c r="GH224" s="35"/>
      <c r="GI224" s="35"/>
      <c r="GJ224" s="35"/>
      <c r="GK224" s="35"/>
      <c r="GL224" s="35"/>
      <c r="GM224" s="35"/>
      <c r="GN224" s="35"/>
      <c r="GO224" s="35"/>
      <c r="GP224" s="35"/>
      <c r="GQ224" s="35"/>
      <c r="GR224" s="35"/>
      <c r="GS224" s="35"/>
      <c r="GT224" s="35"/>
      <c r="GU224" s="35"/>
      <c r="GV224" s="35"/>
      <c r="GW224" s="35"/>
      <c r="GX224" s="35"/>
      <c r="GY224" s="35"/>
      <c r="GZ224" s="35"/>
      <c r="HA224" s="35"/>
      <c r="HB224" s="35"/>
      <c r="HC224" s="35"/>
      <c r="HD224" s="35"/>
      <c r="HE224" s="35"/>
      <c r="HF224" s="35"/>
      <c r="HG224" s="35"/>
      <c r="HH224" s="35"/>
      <c r="HI224" s="35"/>
      <c r="HJ224" s="35"/>
      <c r="HK224" s="35"/>
      <c r="HL224" s="35"/>
      <c r="HM224" s="35"/>
      <c r="HN224" s="35"/>
      <c r="HO224" s="35"/>
      <c r="HP224" s="35"/>
      <c r="HQ224" s="35"/>
      <c r="HR224" s="35"/>
      <c r="HS224" s="35"/>
      <c r="HT224" s="35"/>
      <c r="HU224" s="35"/>
      <c r="HV224" s="35"/>
      <c r="HW224" s="35"/>
      <c r="HX224" s="35"/>
      <c r="HY224" s="35"/>
      <c r="HZ224" s="35"/>
      <c r="IA224" s="35"/>
      <c r="IB224" s="35"/>
      <c r="IC224" s="35"/>
      <c r="ID224" s="35"/>
      <c r="IE224" s="35"/>
      <c r="IF224" s="35"/>
      <c r="IG224" s="35"/>
      <c r="IH224" s="35"/>
      <c r="II224" s="35"/>
      <c r="IJ224" s="35"/>
      <c r="IK224" s="35"/>
      <c r="IL224" s="35"/>
      <c r="IM224" s="35"/>
      <c r="IN224" s="35"/>
      <c r="IO224" s="35"/>
      <c r="IP224" s="35"/>
      <c r="IQ224" s="35"/>
      <c r="IR224" s="35"/>
      <c r="IS224" s="35"/>
      <c r="IT224" s="35"/>
      <c r="IU224" s="35"/>
      <c r="IV224" s="35"/>
      <c r="IW224" s="35"/>
      <c r="IX224" s="35"/>
      <c r="IY224" s="35"/>
      <c r="IZ224" s="35"/>
      <c r="JA224" s="35"/>
      <c r="JB224" s="35"/>
      <c r="JC224" s="35"/>
      <c r="JD224" s="35"/>
      <c r="JE224" s="35"/>
      <c r="JF224" s="35"/>
      <c r="JG224" s="35"/>
      <c r="JH224" s="35"/>
      <c r="JI224" s="35"/>
      <c r="JJ224" s="35"/>
      <c r="JK224" s="35"/>
      <c r="JL224" s="35"/>
      <c r="JM224" s="35"/>
      <c r="JN224" s="35"/>
      <c r="JO224" s="35"/>
      <c r="JP224" s="35"/>
      <c r="JQ224" s="35"/>
      <c r="JR224" s="35"/>
      <c r="JS224" s="35"/>
      <c r="JT224" s="35"/>
      <c r="JU224" s="35"/>
      <c r="JV224" s="35"/>
      <c r="JW224" s="35"/>
      <c r="JX224" s="35"/>
      <c r="JY224" s="35"/>
    </row>
    <row r="225">
      <c r="A225" s="28" t="s">
        <v>435</v>
      </c>
      <c r="B225" s="30"/>
      <c r="C225" s="78"/>
      <c r="D225" s="30"/>
      <c r="E225" s="31"/>
      <c r="F225" s="32"/>
      <c r="G225" s="32"/>
      <c r="H225" s="33"/>
      <c r="I225" s="72"/>
      <c r="J225" s="32"/>
      <c r="K225" s="33"/>
      <c r="L225" s="36" t="b">
        <v>0</v>
      </c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  <c r="DW225" s="35"/>
      <c r="DX225" s="35"/>
      <c r="DY225" s="35"/>
      <c r="DZ225" s="35"/>
      <c r="EA225" s="35"/>
      <c r="EB225" s="35"/>
      <c r="EC225" s="35"/>
      <c r="ED225" s="35"/>
      <c r="EE225" s="35"/>
      <c r="EF225" s="35"/>
      <c r="EG225" s="35"/>
      <c r="EH225" s="35"/>
      <c r="EI225" s="35"/>
      <c r="EJ225" s="35"/>
      <c r="EK225" s="35"/>
      <c r="EL225" s="35"/>
      <c r="EM225" s="35"/>
      <c r="EN225" s="35"/>
      <c r="EO225" s="35"/>
      <c r="EP225" s="35"/>
      <c r="EQ225" s="35"/>
      <c r="ER225" s="35"/>
      <c r="ES225" s="35"/>
      <c r="ET225" s="35"/>
      <c r="EU225" s="35"/>
      <c r="EV225" s="35"/>
      <c r="EW225" s="35"/>
      <c r="EX225" s="35"/>
      <c r="EY225" s="35"/>
      <c r="EZ225" s="35"/>
      <c r="FA225" s="35"/>
      <c r="FB225" s="35"/>
      <c r="FC225" s="35"/>
      <c r="FD225" s="35"/>
      <c r="FE225" s="35"/>
      <c r="FF225" s="35"/>
      <c r="FG225" s="35"/>
      <c r="FH225" s="35"/>
      <c r="FI225" s="35"/>
      <c r="FJ225" s="35"/>
      <c r="FK225" s="35"/>
      <c r="FL225" s="35"/>
      <c r="FM225" s="35"/>
      <c r="FN225" s="35"/>
      <c r="FO225" s="35"/>
      <c r="FP225" s="35"/>
      <c r="FQ225" s="35"/>
      <c r="FR225" s="35"/>
      <c r="FS225" s="35"/>
      <c r="FT225" s="35"/>
      <c r="FU225" s="35"/>
      <c r="FV225" s="35"/>
      <c r="FW225" s="35"/>
      <c r="FX225" s="35"/>
      <c r="FY225" s="35"/>
      <c r="FZ225" s="35"/>
      <c r="GA225" s="35"/>
      <c r="GB225" s="35"/>
      <c r="GC225" s="35"/>
      <c r="GD225" s="35"/>
      <c r="GE225" s="35"/>
      <c r="GF225" s="35"/>
      <c r="GG225" s="35"/>
      <c r="GH225" s="35"/>
      <c r="GI225" s="35"/>
      <c r="GJ225" s="35"/>
      <c r="GK225" s="35"/>
      <c r="GL225" s="35"/>
      <c r="GM225" s="35"/>
      <c r="GN225" s="35"/>
      <c r="GO225" s="35"/>
      <c r="GP225" s="35"/>
      <c r="GQ225" s="35"/>
      <c r="GR225" s="35"/>
      <c r="GS225" s="35"/>
      <c r="GT225" s="35"/>
      <c r="GU225" s="35"/>
      <c r="GV225" s="35"/>
      <c r="GW225" s="35"/>
      <c r="GX225" s="35"/>
      <c r="GY225" s="35"/>
      <c r="GZ225" s="35"/>
      <c r="HA225" s="35"/>
      <c r="HB225" s="35"/>
      <c r="HC225" s="35"/>
      <c r="HD225" s="35"/>
      <c r="HE225" s="35"/>
      <c r="HF225" s="35"/>
      <c r="HG225" s="35"/>
      <c r="HH225" s="35"/>
      <c r="HI225" s="35"/>
      <c r="HJ225" s="35"/>
      <c r="HK225" s="35"/>
      <c r="HL225" s="35"/>
      <c r="HM225" s="35"/>
      <c r="HN225" s="35"/>
      <c r="HO225" s="35"/>
      <c r="HP225" s="35"/>
      <c r="HQ225" s="35"/>
      <c r="HR225" s="35"/>
      <c r="HS225" s="35"/>
      <c r="HT225" s="35"/>
      <c r="HU225" s="35"/>
      <c r="HV225" s="35"/>
      <c r="HW225" s="35"/>
      <c r="HX225" s="35"/>
      <c r="HY225" s="35"/>
      <c r="HZ225" s="35"/>
      <c r="IA225" s="35"/>
      <c r="IB225" s="35"/>
      <c r="IC225" s="35"/>
      <c r="ID225" s="35"/>
      <c r="IE225" s="35"/>
      <c r="IF225" s="35"/>
      <c r="IG225" s="35"/>
      <c r="IH225" s="35"/>
      <c r="II225" s="35"/>
      <c r="IJ225" s="35"/>
      <c r="IK225" s="35"/>
      <c r="IL225" s="35"/>
      <c r="IM225" s="35"/>
      <c r="IN225" s="35"/>
      <c r="IO225" s="35"/>
      <c r="IP225" s="35"/>
      <c r="IQ225" s="35"/>
      <c r="IR225" s="35"/>
      <c r="IS225" s="35"/>
      <c r="IT225" s="35"/>
      <c r="IU225" s="35"/>
      <c r="IV225" s="35"/>
      <c r="IW225" s="35"/>
      <c r="IX225" s="35"/>
      <c r="IY225" s="35"/>
      <c r="IZ225" s="35"/>
      <c r="JA225" s="35"/>
      <c r="JB225" s="35"/>
      <c r="JC225" s="35"/>
      <c r="JD225" s="35"/>
      <c r="JE225" s="35"/>
      <c r="JF225" s="35"/>
      <c r="JG225" s="35"/>
      <c r="JH225" s="35"/>
      <c r="JI225" s="35"/>
      <c r="JJ225" s="35"/>
      <c r="JK225" s="35"/>
      <c r="JL225" s="35"/>
      <c r="JM225" s="35"/>
      <c r="JN225" s="35"/>
      <c r="JO225" s="35"/>
      <c r="JP225" s="35"/>
      <c r="JQ225" s="35"/>
      <c r="JR225" s="35"/>
      <c r="JS225" s="35"/>
      <c r="JT225" s="35"/>
      <c r="JU225" s="35"/>
      <c r="JV225" s="35"/>
      <c r="JW225" s="35"/>
      <c r="JX225" s="35"/>
      <c r="JY225" s="35"/>
    </row>
    <row r="226">
      <c r="A226" s="28" t="s">
        <v>436</v>
      </c>
      <c r="B226" s="30"/>
      <c r="C226" s="78"/>
      <c r="D226" s="30"/>
      <c r="E226" s="31"/>
      <c r="F226" s="32"/>
      <c r="G226" s="32"/>
      <c r="H226" s="33"/>
      <c r="I226" s="72"/>
      <c r="J226" s="32"/>
      <c r="K226" s="33"/>
      <c r="L226" s="36" t="b">
        <v>0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  <c r="DW226" s="35"/>
      <c r="DX226" s="35"/>
      <c r="DY226" s="35"/>
      <c r="DZ226" s="35"/>
      <c r="EA226" s="35"/>
      <c r="EB226" s="35"/>
      <c r="EC226" s="35"/>
      <c r="ED226" s="35"/>
      <c r="EE226" s="35"/>
      <c r="EF226" s="35"/>
      <c r="EG226" s="35"/>
      <c r="EH226" s="35"/>
      <c r="EI226" s="35"/>
      <c r="EJ226" s="35"/>
      <c r="EK226" s="35"/>
      <c r="EL226" s="35"/>
      <c r="EM226" s="35"/>
      <c r="EN226" s="35"/>
      <c r="EO226" s="35"/>
      <c r="EP226" s="35"/>
      <c r="EQ226" s="35"/>
      <c r="ER226" s="35"/>
      <c r="ES226" s="35"/>
      <c r="ET226" s="35"/>
      <c r="EU226" s="35"/>
      <c r="EV226" s="35"/>
      <c r="EW226" s="35"/>
      <c r="EX226" s="35"/>
      <c r="EY226" s="35"/>
      <c r="EZ226" s="35"/>
      <c r="FA226" s="35"/>
      <c r="FB226" s="35"/>
      <c r="FC226" s="35"/>
      <c r="FD226" s="35"/>
      <c r="FE226" s="35"/>
      <c r="FF226" s="35"/>
      <c r="FG226" s="35"/>
      <c r="FH226" s="35"/>
      <c r="FI226" s="35"/>
      <c r="FJ226" s="35"/>
      <c r="FK226" s="35"/>
      <c r="FL226" s="35"/>
      <c r="FM226" s="35"/>
      <c r="FN226" s="35"/>
      <c r="FO226" s="35"/>
      <c r="FP226" s="35"/>
      <c r="FQ226" s="35"/>
      <c r="FR226" s="35"/>
      <c r="FS226" s="35"/>
      <c r="FT226" s="35"/>
      <c r="FU226" s="35"/>
      <c r="FV226" s="35"/>
      <c r="FW226" s="35"/>
      <c r="FX226" s="35"/>
      <c r="FY226" s="35"/>
      <c r="FZ226" s="35"/>
      <c r="GA226" s="35"/>
      <c r="GB226" s="35"/>
      <c r="GC226" s="35"/>
      <c r="GD226" s="35"/>
      <c r="GE226" s="35"/>
      <c r="GF226" s="35"/>
      <c r="GG226" s="35"/>
      <c r="GH226" s="35"/>
      <c r="GI226" s="35"/>
      <c r="GJ226" s="35"/>
      <c r="GK226" s="35"/>
      <c r="GL226" s="35"/>
      <c r="GM226" s="35"/>
      <c r="GN226" s="35"/>
      <c r="GO226" s="35"/>
      <c r="GP226" s="35"/>
      <c r="GQ226" s="35"/>
      <c r="GR226" s="35"/>
      <c r="GS226" s="35"/>
      <c r="GT226" s="35"/>
      <c r="GU226" s="35"/>
      <c r="GV226" s="35"/>
      <c r="GW226" s="35"/>
      <c r="GX226" s="35"/>
      <c r="GY226" s="35"/>
      <c r="GZ226" s="35"/>
      <c r="HA226" s="35"/>
      <c r="HB226" s="35"/>
      <c r="HC226" s="35"/>
      <c r="HD226" s="35"/>
      <c r="HE226" s="35"/>
      <c r="HF226" s="35"/>
      <c r="HG226" s="35"/>
      <c r="HH226" s="35"/>
      <c r="HI226" s="35"/>
      <c r="HJ226" s="35"/>
      <c r="HK226" s="35"/>
      <c r="HL226" s="35"/>
      <c r="HM226" s="35"/>
      <c r="HN226" s="35"/>
      <c r="HO226" s="35"/>
      <c r="HP226" s="35"/>
      <c r="HQ226" s="35"/>
      <c r="HR226" s="35"/>
      <c r="HS226" s="35"/>
      <c r="HT226" s="35"/>
      <c r="HU226" s="35"/>
      <c r="HV226" s="35"/>
      <c r="HW226" s="35"/>
      <c r="HX226" s="35"/>
      <c r="HY226" s="35"/>
      <c r="HZ226" s="35"/>
      <c r="IA226" s="35"/>
      <c r="IB226" s="35"/>
      <c r="IC226" s="35"/>
      <c r="ID226" s="35"/>
      <c r="IE226" s="35"/>
      <c r="IF226" s="35"/>
      <c r="IG226" s="35"/>
      <c r="IH226" s="35"/>
      <c r="II226" s="35"/>
      <c r="IJ226" s="35"/>
      <c r="IK226" s="35"/>
      <c r="IL226" s="35"/>
      <c r="IM226" s="35"/>
      <c r="IN226" s="35"/>
      <c r="IO226" s="35"/>
      <c r="IP226" s="35"/>
      <c r="IQ226" s="35"/>
      <c r="IR226" s="35"/>
      <c r="IS226" s="35"/>
      <c r="IT226" s="35"/>
      <c r="IU226" s="35"/>
      <c r="IV226" s="35"/>
      <c r="IW226" s="35"/>
      <c r="IX226" s="35"/>
      <c r="IY226" s="35"/>
      <c r="IZ226" s="35"/>
      <c r="JA226" s="35"/>
      <c r="JB226" s="35"/>
      <c r="JC226" s="35"/>
      <c r="JD226" s="35"/>
      <c r="JE226" s="35"/>
      <c r="JF226" s="35"/>
      <c r="JG226" s="35"/>
      <c r="JH226" s="35"/>
      <c r="JI226" s="35"/>
      <c r="JJ226" s="35"/>
      <c r="JK226" s="35"/>
      <c r="JL226" s="35"/>
      <c r="JM226" s="35"/>
      <c r="JN226" s="35"/>
      <c r="JO226" s="35"/>
      <c r="JP226" s="35"/>
      <c r="JQ226" s="35"/>
      <c r="JR226" s="35"/>
      <c r="JS226" s="35"/>
      <c r="JT226" s="35"/>
      <c r="JU226" s="35"/>
      <c r="JV226" s="35"/>
      <c r="JW226" s="35"/>
      <c r="JX226" s="35"/>
      <c r="JY226" s="35"/>
    </row>
    <row r="227">
      <c r="A227" s="28" t="s">
        <v>437</v>
      </c>
      <c r="B227" s="30"/>
      <c r="C227" s="78"/>
      <c r="D227" s="30"/>
      <c r="E227" s="31"/>
      <c r="F227" s="32"/>
      <c r="G227" s="32"/>
      <c r="H227" s="33"/>
      <c r="I227" s="72"/>
      <c r="J227" s="32"/>
      <c r="K227" s="33"/>
      <c r="L227" s="36" t="b">
        <v>0</v>
      </c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35"/>
      <c r="DX227" s="35"/>
      <c r="DY227" s="35"/>
      <c r="DZ227" s="35"/>
      <c r="EA227" s="35"/>
      <c r="EB227" s="35"/>
      <c r="EC227" s="35"/>
      <c r="ED227" s="35"/>
      <c r="EE227" s="35"/>
      <c r="EF227" s="35"/>
      <c r="EG227" s="35"/>
      <c r="EH227" s="35"/>
      <c r="EI227" s="35"/>
      <c r="EJ227" s="35"/>
      <c r="EK227" s="35"/>
      <c r="EL227" s="35"/>
      <c r="EM227" s="35"/>
      <c r="EN227" s="35"/>
      <c r="EO227" s="35"/>
      <c r="EP227" s="35"/>
      <c r="EQ227" s="35"/>
      <c r="ER227" s="35"/>
      <c r="ES227" s="35"/>
      <c r="ET227" s="35"/>
      <c r="EU227" s="35"/>
      <c r="EV227" s="35"/>
      <c r="EW227" s="35"/>
      <c r="EX227" s="35"/>
      <c r="EY227" s="35"/>
      <c r="EZ227" s="35"/>
      <c r="FA227" s="35"/>
      <c r="FB227" s="35"/>
      <c r="FC227" s="35"/>
      <c r="FD227" s="35"/>
      <c r="FE227" s="35"/>
      <c r="FF227" s="35"/>
      <c r="FG227" s="35"/>
      <c r="FH227" s="35"/>
      <c r="FI227" s="35"/>
      <c r="FJ227" s="35"/>
      <c r="FK227" s="35"/>
      <c r="FL227" s="35"/>
      <c r="FM227" s="35"/>
      <c r="FN227" s="35"/>
      <c r="FO227" s="35"/>
      <c r="FP227" s="35"/>
      <c r="FQ227" s="35"/>
      <c r="FR227" s="35"/>
      <c r="FS227" s="35"/>
      <c r="FT227" s="35"/>
      <c r="FU227" s="35"/>
      <c r="FV227" s="35"/>
      <c r="FW227" s="35"/>
      <c r="FX227" s="35"/>
      <c r="FY227" s="35"/>
      <c r="FZ227" s="35"/>
      <c r="GA227" s="35"/>
      <c r="GB227" s="35"/>
      <c r="GC227" s="35"/>
      <c r="GD227" s="35"/>
      <c r="GE227" s="35"/>
      <c r="GF227" s="35"/>
      <c r="GG227" s="35"/>
      <c r="GH227" s="35"/>
      <c r="GI227" s="35"/>
      <c r="GJ227" s="35"/>
      <c r="GK227" s="35"/>
      <c r="GL227" s="35"/>
      <c r="GM227" s="35"/>
      <c r="GN227" s="35"/>
      <c r="GO227" s="35"/>
      <c r="GP227" s="35"/>
      <c r="GQ227" s="35"/>
      <c r="GR227" s="35"/>
      <c r="GS227" s="35"/>
      <c r="GT227" s="35"/>
      <c r="GU227" s="35"/>
      <c r="GV227" s="35"/>
      <c r="GW227" s="35"/>
      <c r="GX227" s="35"/>
      <c r="GY227" s="35"/>
      <c r="GZ227" s="35"/>
      <c r="HA227" s="35"/>
      <c r="HB227" s="35"/>
      <c r="HC227" s="35"/>
      <c r="HD227" s="35"/>
      <c r="HE227" s="35"/>
      <c r="HF227" s="35"/>
      <c r="HG227" s="35"/>
      <c r="HH227" s="35"/>
      <c r="HI227" s="35"/>
      <c r="HJ227" s="35"/>
      <c r="HK227" s="35"/>
      <c r="HL227" s="35"/>
      <c r="HM227" s="35"/>
      <c r="HN227" s="35"/>
      <c r="HO227" s="35"/>
      <c r="HP227" s="35"/>
      <c r="HQ227" s="35"/>
      <c r="HR227" s="35"/>
      <c r="HS227" s="35"/>
      <c r="HT227" s="35"/>
      <c r="HU227" s="35"/>
      <c r="HV227" s="35"/>
      <c r="HW227" s="35"/>
      <c r="HX227" s="35"/>
      <c r="HY227" s="35"/>
      <c r="HZ227" s="35"/>
      <c r="IA227" s="35"/>
      <c r="IB227" s="35"/>
      <c r="IC227" s="35"/>
      <c r="ID227" s="35"/>
      <c r="IE227" s="35"/>
      <c r="IF227" s="35"/>
      <c r="IG227" s="35"/>
      <c r="IH227" s="35"/>
      <c r="II227" s="35"/>
      <c r="IJ227" s="35"/>
      <c r="IK227" s="35"/>
      <c r="IL227" s="35"/>
      <c r="IM227" s="35"/>
      <c r="IN227" s="35"/>
      <c r="IO227" s="35"/>
      <c r="IP227" s="35"/>
      <c r="IQ227" s="35"/>
      <c r="IR227" s="35"/>
      <c r="IS227" s="35"/>
      <c r="IT227" s="35"/>
      <c r="IU227" s="35"/>
      <c r="IV227" s="35"/>
      <c r="IW227" s="35"/>
      <c r="IX227" s="35"/>
      <c r="IY227" s="35"/>
      <c r="IZ227" s="35"/>
      <c r="JA227" s="35"/>
      <c r="JB227" s="35"/>
      <c r="JC227" s="35"/>
      <c r="JD227" s="35"/>
      <c r="JE227" s="35"/>
      <c r="JF227" s="35"/>
      <c r="JG227" s="35"/>
      <c r="JH227" s="35"/>
      <c r="JI227" s="35"/>
      <c r="JJ227" s="35"/>
      <c r="JK227" s="35"/>
      <c r="JL227" s="35"/>
      <c r="JM227" s="35"/>
      <c r="JN227" s="35"/>
      <c r="JO227" s="35"/>
      <c r="JP227" s="35"/>
      <c r="JQ227" s="35"/>
      <c r="JR227" s="35"/>
      <c r="JS227" s="35"/>
      <c r="JT227" s="35"/>
      <c r="JU227" s="35"/>
      <c r="JV227" s="35"/>
      <c r="JW227" s="35"/>
      <c r="JX227" s="35"/>
      <c r="JY227" s="35"/>
    </row>
    <row r="228">
      <c r="A228" s="28" t="s">
        <v>438</v>
      </c>
      <c r="B228" s="30"/>
      <c r="C228" s="78"/>
      <c r="D228" s="30"/>
      <c r="E228" s="31"/>
      <c r="F228" s="32"/>
      <c r="G228" s="32"/>
      <c r="H228" s="33"/>
      <c r="I228" s="72"/>
      <c r="J228" s="32"/>
      <c r="K228" s="33"/>
      <c r="L228" s="36" t="b">
        <v>0</v>
      </c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  <c r="DW228" s="35"/>
      <c r="DX228" s="35"/>
      <c r="DY228" s="35"/>
      <c r="DZ228" s="35"/>
      <c r="EA228" s="35"/>
      <c r="EB228" s="35"/>
      <c r="EC228" s="35"/>
      <c r="ED228" s="35"/>
      <c r="EE228" s="35"/>
      <c r="EF228" s="35"/>
      <c r="EG228" s="35"/>
      <c r="EH228" s="35"/>
      <c r="EI228" s="35"/>
      <c r="EJ228" s="35"/>
      <c r="EK228" s="35"/>
      <c r="EL228" s="35"/>
      <c r="EM228" s="35"/>
      <c r="EN228" s="35"/>
      <c r="EO228" s="35"/>
      <c r="EP228" s="35"/>
      <c r="EQ228" s="35"/>
      <c r="ER228" s="35"/>
      <c r="ES228" s="35"/>
      <c r="ET228" s="35"/>
      <c r="EU228" s="35"/>
      <c r="EV228" s="35"/>
      <c r="EW228" s="35"/>
      <c r="EX228" s="35"/>
      <c r="EY228" s="35"/>
      <c r="EZ228" s="35"/>
      <c r="FA228" s="35"/>
      <c r="FB228" s="35"/>
      <c r="FC228" s="35"/>
      <c r="FD228" s="35"/>
      <c r="FE228" s="35"/>
      <c r="FF228" s="35"/>
      <c r="FG228" s="35"/>
      <c r="FH228" s="35"/>
      <c r="FI228" s="35"/>
      <c r="FJ228" s="35"/>
      <c r="FK228" s="35"/>
      <c r="FL228" s="35"/>
      <c r="FM228" s="35"/>
      <c r="FN228" s="35"/>
      <c r="FO228" s="35"/>
      <c r="FP228" s="35"/>
      <c r="FQ228" s="35"/>
      <c r="FR228" s="35"/>
      <c r="FS228" s="35"/>
      <c r="FT228" s="35"/>
      <c r="FU228" s="35"/>
      <c r="FV228" s="35"/>
      <c r="FW228" s="35"/>
      <c r="FX228" s="35"/>
      <c r="FY228" s="35"/>
      <c r="FZ228" s="35"/>
      <c r="GA228" s="35"/>
      <c r="GB228" s="35"/>
      <c r="GC228" s="35"/>
      <c r="GD228" s="35"/>
      <c r="GE228" s="35"/>
      <c r="GF228" s="35"/>
      <c r="GG228" s="35"/>
      <c r="GH228" s="35"/>
      <c r="GI228" s="35"/>
      <c r="GJ228" s="35"/>
      <c r="GK228" s="35"/>
      <c r="GL228" s="35"/>
      <c r="GM228" s="35"/>
      <c r="GN228" s="35"/>
      <c r="GO228" s="35"/>
      <c r="GP228" s="35"/>
      <c r="GQ228" s="35"/>
      <c r="GR228" s="35"/>
      <c r="GS228" s="35"/>
      <c r="GT228" s="35"/>
      <c r="GU228" s="35"/>
      <c r="GV228" s="35"/>
      <c r="GW228" s="35"/>
      <c r="GX228" s="35"/>
      <c r="GY228" s="35"/>
      <c r="GZ228" s="35"/>
      <c r="HA228" s="35"/>
      <c r="HB228" s="35"/>
      <c r="HC228" s="35"/>
      <c r="HD228" s="35"/>
      <c r="HE228" s="35"/>
      <c r="HF228" s="35"/>
      <c r="HG228" s="35"/>
      <c r="HH228" s="35"/>
      <c r="HI228" s="35"/>
      <c r="HJ228" s="35"/>
      <c r="HK228" s="35"/>
      <c r="HL228" s="35"/>
      <c r="HM228" s="35"/>
      <c r="HN228" s="35"/>
      <c r="HO228" s="35"/>
      <c r="HP228" s="35"/>
      <c r="HQ228" s="35"/>
      <c r="HR228" s="35"/>
      <c r="HS228" s="35"/>
      <c r="HT228" s="35"/>
      <c r="HU228" s="35"/>
      <c r="HV228" s="35"/>
      <c r="HW228" s="35"/>
      <c r="HX228" s="35"/>
      <c r="HY228" s="35"/>
      <c r="HZ228" s="35"/>
      <c r="IA228" s="35"/>
      <c r="IB228" s="35"/>
      <c r="IC228" s="35"/>
      <c r="ID228" s="35"/>
      <c r="IE228" s="35"/>
      <c r="IF228" s="35"/>
      <c r="IG228" s="35"/>
      <c r="IH228" s="35"/>
      <c r="II228" s="35"/>
      <c r="IJ228" s="35"/>
      <c r="IK228" s="35"/>
      <c r="IL228" s="35"/>
      <c r="IM228" s="35"/>
      <c r="IN228" s="35"/>
      <c r="IO228" s="35"/>
      <c r="IP228" s="35"/>
      <c r="IQ228" s="35"/>
      <c r="IR228" s="35"/>
      <c r="IS228" s="35"/>
      <c r="IT228" s="35"/>
      <c r="IU228" s="35"/>
      <c r="IV228" s="35"/>
      <c r="IW228" s="35"/>
      <c r="IX228" s="35"/>
      <c r="IY228" s="35"/>
      <c r="IZ228" s="35"/>
      <c r="JA228" s="35"/>
      <c r="JB228" s="35"/>
      <c r="JC228" s="35"/>
      <c r="JD228" s="35"/>
      <c r="JE228" s="35"/>
      <c r="JF228" s="35"/>
      <c r="JG228" s="35"/>
      <c r="JH228" s="35"/>
      <c r="JI228" s="35"/>
      <c r="JJ228" s="35"/>
      <c r="JK228" s="35"/>
      <c r="JL228" s="35"/>
      <c r="JM228" s="35"/>
      <c r="JN228" s="35"/>
      <c r="JO228" s="35"/>
      <c r="JP228" s="35"/>
      <c r="JQ228" s="35"/>
      <c r="JR228" s="35"/>
      <c r="JS228" s="35"/>
      <c r="JT228" s="35"/>
      <c r="JU228" s="35"/>
      <c r="JV228" s="35"/>
      <c r="JW228" s="35"/>
      <c r="JX228" s="35"/>
      <c r="JY228" s="35"/>
    </row>
    <row r="229">
      <c r="A229" s="28" t="s">
        <v>439</v>
      </c>
      <c r="B229" s="30"/>
      <c r="C229" s="78"/>
      <c r="D229" s="30"/>
      <c r="E229" s="31"/>
      <c r="F229" s="32"/>
      <c r="G229" s="32"/>
      <c r="H229" s="33"/>
      <c r="I229" s="72"/>
      <c r="J229" s="32"/>
      <c r="K229" s="33"/>
      <c r="L229" s="36" t="b">
        <v>0</v>
      </c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s="35"/>
      <c r="EE229" s="35"/>
      <c r="EF229" s="35"/>
      <c r="EG229" s="35"/>
      <c r="EH229" s="35"/>
      <c r="EI229" s="35"/>
      <c r="EJ229" s="35"/>
      <c r="EK229" s="35"/>
      <c r="EL229" s="35"/>
      <c r="EM229" s="35"/>
      <c r="EN229" s="35"/>
      <c r="EO229" s="35"/>
      <c r="EP229" s="35"/>
      <c r="EQ229" s="35"/>
      <c r="ER229" s="35"/>
      <c r="ES229" s="35"/>
      <c r="ET229" s="35"/>
      <c r="EU229" s="35"/>
      <c r="EV229" s="35"/>
      <c r="EW229" s="35"/>
      <c r="EX229" s="35"/>
      <c r="EY229" s="35"/>
      <c r="EZ229" s="35"/>
      <c r="FA229" s="35"/>
      <c r="FB229" s="35"/>
      <c r="FC229" s="35"/>
      <c r="FD229" s="35"/>
      <c r="FE229" s="35"/>
      <c r="FF229" s="35"/>
      <c r="FG229" s="35"/>
      <c r="FH229" s="35"/>
      <c r="FI229" s="35"/>
      <c r="FJ229" s="35"/>
      <c r="FK229" s="35"/>
      <c r="FL229" s="35"/>
      <c r="FM229" s="35"/>
      <c r="FN229" s="35"/>
      <c r="FO229" s="35"/>
      <c r="FP229" s="35"/>
      <c r="FQ229" s="35"/>
      <c r="FR229" s="35"/>
      <c r="FS229" s="35"/>
      <c r="FT229" s="35"/>
      <c r="FU229" s="35"/>
      <c r="FV229" s="35"/>
      <c r="FW229" s="35"/>
      <c r="FX229" s="35"/>
      <c r="FY229" s="35"/>
      <c r="FZ229" s="35"/>
      <c r="GA229" s="35"/>
      <c r="GB229" s="35"/>
      <c r="GC229" s="35"/>
      <c r="GD229" s="35"/>
      <c r="GE229" s="35"/>
      <c r="GF229" s="35"/>
      <c r="GG229" s="35"/>
      <c r="GH229" s="35"/>
      <c r="GI229" s="35"/>
      <c r="GJ229" s="35"/>
      <c r="GK229" s="35"/>
      <c r="GL229" s="35"/>
      <c r="GM229" s="35"/>
      <c r="GN229" s="35"/>
      <c r="GO229" s="35"/>
      <c r="GP229" s="35"/>
      <c r="GQ229" s="35"/>
      <c r="GR229" s="35"/>
      <c r="GS229" s="35"/>
      <c r="GT229" s="35"/>
      <c r="GU229" s="35"/>
      <c r="GV229" s="35"/>
      <c r="GW229" s="35"/>
      <c r="GX229" s="35"/>
      <c r="GY229" s="35"/>
      <c r="GZ229" s="35"/>
      <c r="HA229" s="35"/>
      <c r="HB229" s="35"/>
      <c r="HC229" s="35"/>
      <c r="HD229" s="35"/>
      <c r="HE229" s="35"/>
      <c r="HF229" s="35"/>
      <c r="HG229" s="35"/>
      <c r="HH229" s="35"/>
      <c r="HI229" s="35"/>
      <c r="HJ229" s="35"/>
      <c r="HK229" s="35"/>
      <c r="HL229" s="35"/>
      <c r="HM229" s="35"/>
      <c r="HN229" s="35"/>
      <c r="HO229" s="35"/>
      <c r="HP229" s="35"/>
      <c r="HQ229" s="35"/>
      <c r="HR229" s="35"/>
      <c r="HS229" s="35"/>
      <c r="HT229" s="35"/>
      <c r="HU229" s="35"/>
      <c r="HV229" s="35"/>
      <c r="HW229" s="35"/>
      <c r="HX229" s="35"/>
      <c r="HY229" s="35"/>
      <c r="HZ229" s="35"/>
      <c r="IA229" s="35"/>
      <c r="IB229" s="35"/>
      <c r="IC229" s="35"/>
      <c r="ID229" s="35"/>
      <c r="IE229" s="35"/>
      <c r="IF229" s="35"/>
      <c r="IG229" s="35"/>
      <c r="IH229" s="35"/>
      <c r="II229" s="35"/>
      <c r="IJ229" s="35"/>
      <c r="IK229" s="35"/>
      <c r="IL229" s="35"/>
      <c r="IM229" s="35"/>
      <c r="IN229" s="35"/>
      <c r="IO229" s="35"/>
      <c r="IP229" s="35"/>
      <c r="IQ229" s="35"/>
      <c r="IR229" s="35"/>
      <c r="IS229" s="35"/>
      <c r="IT229" s="35"/>
      <c r="IU229" s="35"/>
      <c r="IV229" s="35"/>
      <c r="IW229" s="35"/>
      <c r="IX229" s="35"/>
      <c r="IY229" s="35"/>
      <c r="IZ229" s="35"/>
      <c r="JA229" s="35"/>
      <c r="JB229" s="35"/>
      <c r="JC229" s="35"/>
      <c r="JD229" s="35"/>
      <c r="JE229" s="35"/>
      <c r="JF229" s="35"/>
      <c r="JG229" s="35"/>
      <c r="JH229" s="35"/>
      <c r="JI229" s="35"/>
      <c r="JJ229" s="35"/>
      <c r="JK229" s="35"/>
      <c r="JL229" s="35"/>
      <c r="JM229" s="35"/>
      <c r="JN229" s="35"/>
      <c r="JO229" s="35"/>
      <c r="JP229" s="35"/>
      <c r="JQ229" s="35"/>
      <c r="JR229" s="35"/>
      <c r="JS229" s="35"/>
      <c r="JT229" s="35"/>
      <c r="JU229" s="35"/>
      <c r="JV229" s="35"/>
      <c r="JW229" s="35"/>
      <c r="JX229" s="35"/>
      <c r="JY229" s="35"/>
    </row>
    <row r="230">
      <c r="A230" s="28" t="s">
        <v>440</v>
      </c>
      <c r="B230" s="30"/>
      <c r="C230" s="78"/>
      <c r="D230" s="30"/>
      <c r="E230" s="31"/>
      <c r="F230" s="32"/>
      <c r="G230" s="32"/>
      <c r="H230" s="33"/>
      <c r="I230" s="72"/>
      <c r="J230" s="32"/>
      <c r="K230" s="33"/>
      <c r="L230" s="36" t="b">
        <v>0</v>
      </c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35"/>
      <c r="DX230" s="35"/>
      <c r="DY230" s="35"/>
      <c r="DZ230" s="35"/>
      <c r="EA230" s="35"/>
      <c r="EB230" s="35"/>
      <c r="EC230" s="35"/>
      <c r="ED230" s="35"/>
      <c r="EE230" s="35"/>
      <c r="EF230" s="35"/>
      <c r="EG230" s="35"/>
      <c r="EH230" s="35"/>
      <c r="EI230" s="35"/>
      <c r="EJ230" s="35"/>
      <c r="EK230" s="35"/>
      <c r="EL230" s="35"/>
      <c r="EM230" s="35"/>
      <c r="EN230" s="35"/>
      <c r="EO230" s="35"/>
      <c r="EP230" s="35"/>
      <c r="EQ230" s="35"/>
      <c r="ER230" s="35"/>
      <c r="ES230" s="35"/>
      <c r="ET230" s="35"/>
      <c r="EU230" s="35"/>
      <c r="EV230" s="35"/>
      <c r="EW230" s="35"/>
      <c r="EX230" s="35"/>
      <c r="EY230" s="35"/>
      <c r="EZ230" s="35"/>
      <c r="FA230" s="35"/>
      <c r="FB230" s="35"/>
      <c r="FC230" s="35"/>
      <c r="FD230" s="35"/>
      <c r="FE230" s="35"/>
      <c r="FF230" s="35"/>
      <c r="FG230" s="35"/>
      <c r="FH230" s="35"/>
      <c r="FI230" s="35"/>
      <c r="FJ230" s="35"/>
      <c r="FK230" s="35"/>
      <c r="FL230" s="35"/>
      <c r="FM230" s="35"/>
      <c r="FN230" s="35"/>
      <c r="FO230" s="35"/>
      <c r="FP230" s="35"/>
      <c r="FQ230" s="35"/>
      <c r="FR230" s="35"/>
      <c r="FS230" s="35"/>
      <c r="FT230" s="35"/>
      <c r="FU230" s="35"/>
      <c r="FV230" s="35"/>
      <c r="FW230" s="35"/>
      <c r="FX230" s="35"/>
      <c r="FY230" s="35"/>
      <c r="FZ230" s="35"/>
      <c r="GA230" s="35"/>
      <c r="GB230" s="35"/>
      <c r="GC230" s="35"/>
      <c r="GD230" s="35"/>
      <c r="GE230" s="35"/>
      <c r="GF230" s="35"/>
      <c r="GG230" s="35"/>
      <c r="GH230" s="35"/>
      <c r="GI230" s="35"/>
      <c r="GJ230" s="35"/>
      <c r="GK230" s="35"/>
      <c r="GL230" s="35"/>
      <c r="GM230" s="35"/>
      <c r="GN230" s="35"/>
      <c r="GO230" s="35"/>
      <c r="GP230" s="35"/>
      <c r="GQ230" s="35"/>
      <c r="GR230" s="35"/>
      <c r="GS230" s="35"/>
      <c r="GT230" s="35"/>
      <c r="GU230" s="35"/>
      <c r="GV230" s="35"/>
      <c r="GW230" s="35"/>
      <c r="GX230" s="35"/>
      <c r="GY230" s="35"/>
      <c r="GZ230" s="35"/>
      <c r="HA230" s="35"/>
      <c r="HB230" s="35"/>
      <c r="HC230" s="35"/>
      <c r="HD230" s="35"/>
      <c r="HE230" s="35"/>
      <c r="HF230" s="35"/>
      <c r="HG230" s="35"/>
      <c r="HH230" s="35"/>
      <c r="HI230" s="35"/>
      <c r="HJ230" s="35"/>
      <c r="HK230" s="35"/>
      <c r="HL230" s="35"/>
      <c r="HM230" s="35"/>
      <c r="HN230" s="35"/>
      <c r="HO230" s="35"/>
      <c r="HP230" s="35"/>
      <c r="HQ230" s="35"/>
      <c r="HR230" s="35"/>
      <c r="HS230" s="35"/>
      <c r="HT230" s="35"/>
      <c r="HU230" s="35"/>
      <c r="HV230" s="35"/>
      <c r="HW230" s="35"/>
      <c r="HX230" s="35"/>
      <c r="HY230" s="35"/>
      <c r="HZ230" s="35"/>
      <c r="IA230" s="35"/>
      <c r="IB230" s="35"/>
      <c r="IC230" s="35"/>
      <c r="ID230" s="35"/>
      <c r="IE230" s="35"/>
      <c r="IF230" s="35"/>
      <c r="IG230" s="35"/>
      <c r="IH230" s="35"/>
      <c r="II230" s="35"/>
      <c r="IJ230" s="35"/>
      <c r="IK230" s="35"/>
      <c r="IL230" s="35"/>
      <c r="IM230" s="35"/>
      <c r="IN230" s="35"/>
      <c r="IO230" s="35"/>
      <c r="IP230" s="35"/>
      <c r="IQ230" s="35"/>
      <c r="IR230" s="35"/>
      <c r="IS230" s="35"/>
      <c r="IT230" s="35"/>
      <c r="IU230" s="35"/>
      <c r="IV230" s="35"/>
      <c r="IW230" s="35"/>
      <c r="IX230" s="35"/>
      <c r="IY230" s="35"/>
      <c r="IZ230" s="35"/>
      <c r="JA230" s="35"/>
      <c r="JB230" s="35"/>
      <c r="JC230" s="35"/>
      <c r="JD230" s="35"/>
      <c r="JE230" s="35"/>
      <c r="JF230" s="35"/>
      <c r="JG230" s="35"/>
      <c r="JH230" s="35"/>
      <c r="JI230" s="35"/>
      <c r="JJ230" s="35"/>
      <c r="JK230" s="35"/>
      <c r="JL230" s="35"/>
      <c r="JM230" s="35"/>
      <c r="JN230" s="35"/>
      <c r="JO230" s="35"/>
      <c r="JP230" s="35"/>
      <c r="JQ230" s="35"/>
      <c r="JR230" s="35"/>
      <c r="JS230" s="35"/>
      <c r="JT230" s="35"/>
      <c r="JU230" s="35"/>
      <c r="JV230" s="35"/>
      <c r="JW230" s="35"/>
      <c r="JX230" s="35"/>
      <c r="JY230" s="35"/>
    </row>
    <row r="231">
      <c r="A231" s="28" t="s">
        <v>441</v>
      </c>
      <c r="B231" s="30"/>
      <c r="C231" s="78"/>
      <c r="D231" s="30"/>
      <c r="E231" s="31"/>
      <c r="F231" s="32"/>
      <c r="G231" s="32"/>
      <c r="H231" s="33"/>
      <c r="I231" s="72"/>
      <c r="J231" s="32"/>
      <c r="K231" s="33"/>
      <c r="L231" s="36" t="b">
        <v>0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  <c r="DW231" s="35"/>
      <c r="DX231" s="35"/>
      <c r="DY231" s="35"/>
      <c r="DZ231" s="35"/>
      <c r="EA231" s="35"/>
      <c r="EB231" s="35"/>
      <c r="EC231" s="35"/>
      <c r="ED231" s="35"/>
      <c r="EE231" s="35"/>
      <c r="EF231" s="35"/>
      <c r="EG231" s="35"/>
      <c r="EH231" s="35"/>
      <c r="EI231" s="35"/>
      <c r="EJ231" s="35"/>
      <c r="EK231" s="35"/>
      <c r="EL231" s="35"/>
      <c r="EM231" s="35"/>
      <c r="EN231" s="35"/>
      <c r="EO231" s="35"/>
      <c r="EP231" s="35"/>
      <c r="EQ231" s="35"/>
      <c r="ER231" s="35"/>
      <c r="ES231" s="35"/>
      <c r="ET231" s="35"/>
      <c r="EU231" s="35"/>
      <c r="EV231" s="35"/>
      <c r="EW231" s="35"/>
      <c r="EX231" s="35"/>
      <c r="EY231" s="35"/>
      <c r="EZ231" s="35"/>
      <c r="FA231" s="35"/>
      <c r="FB231" s="35"/>
      <c r="FC231" s="35"/>
      <c r="FD231" s="35"/>
      <c r="FE231" s="35"/>
      <c r="FF231" s="35"/>
      <c r="FG231" s="35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  <c r="FS231" s="35"/>
      <c r="FT231" s="35"/>
      <c r="FU231" s="35"/>
      <c r="FV231" s="35"/>
      <c r="FW231" s="35"/>
      <c r="FX231" s="35"/>
      <c r="FY231" s="35"/>
      <c r="FZ231" s="35"/>
      <c r="GA231" s="35"/>
      <c r="GB231" s="35"/>
      <c r="GC231" s="35"/>
      <c r="GD231" s="35"/>
      <c r="GE231" s="35"/>
      <c r="GF231" s="35"/>
      <c r="GG231" s="35"/>
      <c r="GH231" s="35"/>
      <c r="GI231" s="35"/>
      <c r="GJ231" s="35"/>
      <c r="GK231" s="35"/>
      <c r="GL231" s="35"/>
      <c r="GM231" s="35"/>
      <c r="GN231" s="35"/>
      <c r="GO231" s="35"/>
      <c r="GP231" s="35"/>
      <c r="GQ231" s="35"/>
      <c r="GR231" s="35"/>
      <c r="GS231" s="35"/>
      <c r="GT231" s="35"/>
      <c r="GU231" s="35"/>
      <c r="GV231" s="35"/>
      <c r="GW231" s="35"/>
      <c r="GX231" s="35"/>
      <c r="GY231" s="35"/>
      <c r="GZ231" s="35"/>
      <c r="HA231" s="35"/>
      <c r="HB231" s="35"/>
      <c r="HC231" s="35"/>
      <c r="HD231" s="35"/>
      <c r="HE231" s="35"/>
      <c r="HF231" s="35"/>
      <c r="HG231" s="35"/>
      <c r="HH231" s="35"/>
      <c r="HI231" s="35"/>
      <c r="HJ231" s="35"/>
      <c r="HK231" s="35"/>
      <c r="HL231" s="35"/>
      <c r="HM231" s="35"/>
      <c r="HN231" s="35"/>
      <c r="HO231" s="35"/>
      <c r="HP231" s="35"/>
      <c r="HQ231" s="35"/>
      <c r="HR231" s="35"/>
      <c r="HS231" s="35"/>
      <c r="HT231" s="35"/>
      <c r="HU231" s="35"/>
      <c r="HV231" s="35"/>
      <c r="HW231" s="35"/>
      <c r="HX231" s="35"/>
      <c r="HY231" s="35"/>
      <c r="HZ231" s="35"/>
      <c r="IA231" s="35"/>
      <c r="IB231" s="35"/>
      <c r="IC231" s="35"/>
      <c r="ID231" s="35"/>
      <c r="IE231" s="35"/>
      <c r="IF231" s="35"/>
      <c r="IG231" s="35"/>
      <c r="IH231" s="35"/>
      <c r="II231" s="35"/>
      <c r="IJ231" s="35"/>
      <c r="IK231" s="35"/>
      <c r="IL231" s="35"/>
      <c r="IM231" s="35"/>
      <c r="IN231" s="35"/>
      <c r="IO231" s="35"/>
      <c r="IP231" s="35"/>
      <c r="IQ231" s="35"/>
      <c r="IR231" s="35"/>
      <c r="IS231" s="35"/>
      <c r="IT231" s="35"/>
      <c r="IU231" s="35"/>
      <c r="IV231" s="35"/>
      <c r="IW231" s="35"/>
      <c r="IX231" s="35"/>
      <c r="IY231" s="35"/>
      <c r="IZ231" s="35"/>
      <c r="JA231" s="35"/>
      <c r="JB231" s="35"/>
      <c r="JC231" s="35"/>
      <c r="JD231" s="35"/>
      <c r="JE231" s="35"/>
      <c r="JF231" s="35"/>
      <c r="JG231" s="35"/>
      <c r="JH231" s="35"/>
      <c r="JI231" s="35"/>
      <c r="JJ231" s="35"/>
      <c r="JK231" s="35"/>
      <c r="JL231" s="35"/>
      <c r="JM231" s="35"/>
      <c r="JN231" s="35"/>
      <c r="JO231" s="35"/>
      <c r="JP231" s="35"/>
      <c r="JQ231" s="35"/>
      <c r="JR231" s="35"/>
      <c r="JS231" s="35"/>
      <c r="JT231" s="35"/>
      <c r="JU231" s="35"/>
      <c r="JV231" s="35"/>
      <c r="JW231" s="35"/>
      <c r="JX231" s="35"/>
      <c r="JY231" s="35"/>
    </row>
    <row r="232">
      <c r="A232" s="28" t="s">
        <v>442</v>
      </c>
      <c r="B232" s="30"/>
      <c r="C232" s="78"/>
      <c r="D232" s="30"/>
      <c r="E232" s="31"/>
      <c r="F232" s="32"/>
      <c r="G232" s="32"/>
      <c r="H232" s="33"/>
      <c r="I232" s="72"/>
      <c r="J232" s="32"/>
      <c r="K232" s="33"/>
      <c r="L232" s="36" t="b">
        <v>0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  <c r="DW232" s="35"/>
      <c r="DX232" s="35"/>
      <c r="DY232" s="35"/>
      <c r="DZ232" s="35"/>
      <c r="EA232" s="35"/>
      <c r="EB232" s="35"/>
      <c r="EC232" s="35"/>
      <c r="ED232" s="35"/>
      <c r="EE232" s="35"/>
      <c r="EF232" s="35"/>
      <c r="EG232" s="35"/>
      <c r="EH232" s="35"/>
      <c r="EI232" s="35"/>
      <c r="EJ232" s="35"/>
      <c r="EK232" s="35"/>
      <c r="EL232" s="35"/>
      <c r="EM232" s="35"/>
      <c r="EN232" s="35"/>
      <c r="EO232" s="35"/>
      <c r="EP232" s="35"/>
      <c r="EQ232" s="35"/>
      <c r="ER232" s="35"/>
      <c r="ES232" s="35"/>
      <c r="ET232" s="35"/>
      <c r="EU232" s="35"/>
      <c r="EV232" s="35"/>
      <c r="EW232" s="35"/>
      <c r="EX232" s="35"/>
      <c r="EY232" s="35"/>
      <c r="EZ232" s="35"/>
      <c r="FA232" s="35"/>
      <c r="FB232" s="35"/>
      <c r="FC232" s="35"/>
      <c r="FD232" s="35"/>
      <c r="FE232" s="35"/>
      <c r="FF232" s="35"/>
      <c r="FG232" s="35"/>
      <c r="FH232" s="35"/>
      <c r="FI232" s="35"/>
      <c r="FJ232" s="35"/>
      <c r="FK232" s="35"/>
      <c r="FL232" s="35"/>
      <c r="FM232" s="35"/>
      <c r="FN232" s="35"/>
      <c r="FO232" s="35"/>
      <c r="FP232" s="35"/>
      <c r="FQ232" s="35"/>
      <c r="FR232" s="35"/>
      <c r="FS232" s="35"/>
      <c r="FT232" s="35"/>
      <c r="FU232" s="35"/>
      <c r="FV232" s="35"/>
      <c r="FW232" s="35"/>
      <c r="FX232" s="35"/>
      <c r="FY232" s="35"/>
      <c r="FZ232" s="35"/>
      <c r="GA232" s="35"/>
      <c r="GB232" s="35"/>
      <c r="GC232" s="35"/>
      <c r="GD232" s="35"/>
      <c r="GE232" s="35"/>
      <c r="GF232" s="35"/>
      <c r="GG232" s="35"/>
      <c r="GH232" s="35"/>
      <c r="GI232" s="35"/>
      <c r="GJ232" s="35"/>
      <c r="GK232" s="35"/>
      <c r="GL232" s="35"/>
      <c r="GM232" s="35"/>
      <c r="GN232" s="35"/>
      <c r="GO232" s="35"/>
      <c r="GP232" s="35"/>
      <c r="GQ232" s="35"/>
      <c r="GR232" s="35"/>
      <c r="GS232" s="35"/>
      <c r="GT232" s="35"/>
      <c r="GU232" s="35"/>
      <c r="GV232" s="35"/>
      <c r="GW232" s="35"/>
      <c r="GX232" s="35"/>
      <c r="GY232" s="35"/>
      <c r="GZ232" s="35"/>
      <c r="HA232" s="35"/>
      <c r="HB232" s="35"/>
      <c r="HC232" s="35"/>
      <c r="HD232" s="35"/>
      <c r="HE232" s="35"/>
      <c r="HF232" s="35"/>
      <c r="HG232" s="35"/>
      <c r="HH232" s="35"/>
      <c r="HI232" s="35"/>
      <c r="HJ232" s="35"/>
      <c r="HK232" s="35"/>
      <c r="HL232" s="35"/>
      <c r="HM232" s="35"/>
      <c r="HN232" s="35"/>
      <c r="HO232" s="35"/>
      <c r="HP232" s="35"/>
      <c r="HQ232" s="35"/>
      <c r="HR232" s="35"/>
      <c r="HS232" s="35"/>
      <c r="HT232" s="35"/>
      <c r="HU232" s="35"/>
      <c r="HV232" s="35"/>
      <c r="HW232" s="35"/>
      <c r="HX232" s="35"/>
      <c r="HY232" s="35"/>
      <c r="HZ232" s="35"/>
      <c r="IA232" s="35"/>
      <c r="IB232" s="35"/>
      <c r="IC232" s="35"/>
      <c r="ID232" s="35"/>
      <c r="IE232" s="35"/>
      <c r="IF232" s="35"/>
      <c r="IG232" s="35"/>
      <c r="IH232" s="35"/>
      <c r="II232" s="35"/>
      <c r="IJ232" s="35"/>
      <c r="IK232" s="35"/>
      <c r="IL232" s="35"/>
      <c r="IM232" s="35"/>
      <c r="IN232" s="35"/>
      <c r="IO232" s="35"/>
      <c r="IP232" s="35"/>
      <c r="IQ232" s="35"/>
      <c r="IR232" s="35"/>
      <c r="IS232" s="35"/>
      <c r="IT232" s="35"/>
      <c r="IU232" s="35"/>
      <c r="IV232" s="35"/>
      <c r="IW232" s="35"/>
      <c r="IX232" s="35"/>
      <c r="IY232" s="35"/>
      <c r="IZ232" s="35"/>
      <c r="JA232" s="35"/>
      <c r="JB232" s="35"/>
      <c r="JC232" s="35"/>
      <c r="JD232" s="35"/>
      <c r="JE232" s="35"/>
      <c r="JF232" s="35"/>
      <c r="JG232" s="35"/>
      <c r="JH232" s="35"/>
      <c r="JI232" s="35"/>
      <c r="JJ232" s="35"/>
      <c r="JK232" s="35"/>
      <c r="JL232" s="35"/>
      <c r="JM232" s="35"/>
      <c r="JN232" s="35"/>
      <c r="JO232" s="35"/>
      <c r="JP232" s="35"/>
      <c r="JQ232" s="35"/>
      <c r="JR232" s="35"/>
      <c r="JS232" s="35"/>
      <c r="JT232" s="35"/>
      <c r="JU232" s="35"/>
      <c r="JV232" s="35"/>
      <c r="JW232" s="35"/>
      <c r="JX232" s="35"/>
      <c r="JY232" s="35"/>
    </row>
    <row r="233">
      <c r="A233" s="28" t="s">
        <v>443</v>
      </c>
      <c r="B233" s="30"/>
      <c r="C233" s="78"/>
      <c r="D233" s="30"/>
      <c r="E233" s="31"/>
      <c r="F233" s="32"/>
      <c r="G233" s="32"/>
      <c r="H233" s="33"/>
      <c r="I233" s="72"/>
      <c r="J233" s="32"/>
      <c r="K233" s="33"/>
      <c r="L233" s="36" t="b">
        <v>0</v>
      </c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  <c r="DW233" s="35"/>
      <c r="DX233" s="35"/>
      <c r="DY233" s="35"/>
      <c r="DZ233" s="35"/>
      <c r="EA233" s="35"/>
      <c r="EB233" s="35"/>
      <c r="EC233" s="35"/>
      <c r="ED233" s="35"/>
      <c r="EE233" s="35"/>
      <c r="EF233" s="35"/>
      <c r="EG233" s="35"/>
      <c r="EH233" s="35"/>
      <c r="EI233" s="35"/>
      <c r="EJ233" s="35"/>
      <c r="EK233" s="35"/>
      <c r="EL233" s="35"/>
      <c r="EM233" s="35"/>
      <c r="EN233" s="35"/>
      <c r="EO233" s="35"/>
      <c r="EP233" s="35"/>
      <c r="EQ233" s="35"/>
      <c r="ER233" s="35"/>
      <c r="ES233" s="35"/>
      <c r="ET233" s="35"/>
      <c r="EU233" s="35"/>
      <c r="EV233" s="35"/>
      <c r="EW233" s="35"/>
      <c r="EX233" s="35"/>
      <c r="EY233" s="35"/>
      <c r="EZ233" s="35"/>
      <c r="FA233" s="35"/>
      <c r="FB233" s="35"/>
      <c r="FC233" s="35"/>
      <c r="FD233" s="35"/>
      <c r="FE233" s="35"/>
      <c r="FF233" s="35"/>
      <c r="FG233" s="35"/>
      <c r="FH233" s="35"/>
      <c r="FI233" s="35"/>
      <c r="FJ233" s="35"/>
      <c r="FK233" s="35"/>
      <c r="FL233" s="35"/>
      <c r="FM233" s="35"/>
      <c r="FN233" s="35"/>
      <c r="FO233" s="35"/>
      <c r="FP233" s="35"/>
      <c r="FQ233" s="35"/>
      <c r="FR233" s="35"/>
      <c r="FS233" s="35"/>
      <c r="FT233" s="35"/>
      <c r="FU233" s="35"/>
      <c r="FV233" s="35"/>
      <c r="FW233" s="35"/>
      <c r="FX233" s="35"/>
      <c r="FY233" s="35"/>
      <c r="FZ233" s="35"/>
      <c r="GA233" s="35"/>
      <c r="GB233" s="35"/>
      <c r="GC233" s="35"/>
      <c r="GD233" s="35"/>
      <c r="GE233" s="35"/>
      <c r="GF233" s="35"/>
      <c r="GG233" s="35"/>
      <c r="GH233" s="35"/>
      <c r="GI233" s="35"/>
      <c r="GJ233" s="35"/>
      <c r="GK233" s="35"/>
      <c r="GL233" s="35"/>
      <c r="GM233" s="35"/>
      <c r="GN233" s="35"/>
      <c r="GO233" s="35"/>
      <c r="GP233" s="35"/>
      <c r="GQ233" s="35"/>
      <c r="GR233" s="35"/>
      <c r="GS233" s="35"/>
      <c r="GT233" s="35"/>
      <c r="GU233" s="35"/>
      <c r="GV233" s="35"/>
      <c r="GW233" s="35"/>
      <c r="GX233" s="35"/>
      <c r="GY233" s="35"/>
      <c r="GZ233" s="35"/>
      <c r="HA233" s="35"/>
      <c r="HB233" s="35"/>
      <c r="HC233" s="35"/>
      <c r="HD233" s="35"/>
      <c r="HE233" s="35"/>
      <c r="HF233" s="35"/>
      <c r="HG233" s="35"/>
      <c r="HH233" s="35"/>
      <c r="HI233" s="35"/>
      <c r="HJ233" s="35"/>
      <c r="HK233" s="35"/>
      <c r="HL233" s="35"/>
      <c r="HM233" s="35"/>
      <c r="HN233" s="35"/>
      <c r="HO233" s="35"/>
      <c r="HP233" s="35"/>
      <c r="HQ233" s="35"/>
      <c r="HR233" s="35"/>
      <c r="HS233" s="35"/>
      <c r="HT233" s="35"/>
      <c r="HU233" s="35"/>
      <c r="HV233" s="35"/>
      <c r="HW233" s="35"/>
      <c r="HX233" s="35"/>
      <c r="HY233" s="35"/>
      <c r="HZ233" s="35"/>
      <c r="IA233" s="35"/>
      <c r="IB233" s="35"/>
      <c r="IC233" s="35"/>
      <c r="ID233" s="35"/>
      <c r="IE233" s="35"/>
      <c r="IF233" s="35"/>
      <c r="IG233" s="35"/>
      <c r="IH233" s="35"/>
      <c r="II233" s="35"/>
      <c r="IJ233" s="35"/>
      <c r="IK233" s="35"/>
      <c r="IL233" s="35"/>
      <c r="IM233" s="35"/>
      <c r="IN233" s="35"/>
      <c r="IO233" s="35"/>
      <c r="IP233" s="35"/>
      <c r="IQ233" s="35"/>
      <c r="IR233" s="35"/>
      <c r="IS233" s="35"/>
      <c r="IT233" s="35"/>
      <c r="IU233" s="35"/>
      <c r="IV233" s="35"/>
      <c r="IW233" s="35"/>
      <c r="IX233" s="35"/>
      <c r="IY233" s="35"/>
      <c r="IZ233" s="35"/>
      <c r="JA233" s="35"/>
      <c r="JB233" s="35"/>
      <c r="JC233" s="35"/>
      <c r="JD233" s="35"/>
      <c r="JE233" s="35"/>
      <c r="JF233" s="35"/>
      <c r="JG233" s="35"/>
      <c r="JH233" s="35"/>
      <c r="JI233" s="35"/>
      <c r="JJ233" s="35"/>
      <c r="JK233" s="35"/>
      <c r="JL233" s="35"/>
      <c r="JM233" s="35"/>
      <c r="JN233" s="35"/>
      <c r="JO233" s="35"/>
      <c r="JP233" s="35"/>
      <c r="JQ233" s="35"/>
      <c r="JR233" s="35"/>
      <c r="JS233" s="35"/>
      <c r="JT233" s="35"/>
      <c r="JU233" s="35"/>
      <c r="JV233" s="35"/>
      <c r="JW233" s="35"/>
      <c r="JX233" s="35"/>
      <c r="JY233" s="35"/>
    </row>
    <row r="234">
      <c r="A234" s="28" t="s">
        <v>444</v>
      </c>
      <c r="B234" s="30"/>
      <c r="C234" s="78"/>
      <c r="D234" s="30"/>
      <c r="E234" s="31"/>
      <c r="F234" s="32"/>
      <c r="G234" s="32"/>
      <c r="H234" s="33"/>
      <c r="I234" s="72"/>
      <c r="J234" s="32"/>
      <c r="K234" s="33"/>
      <c r="L234" s="36" t="b">
        <v>0</v>
      </c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  <c r="DW234" s="35"/>
      <c r="DX234" s="35"/>
      <c r="DY234" s="35"/>
      <c r="DZ234" s="35"/>
      <c r="EA234" s="35"/>
      <c r="EB234" s="35"/>
      <c r="EC234" s="35"/>
      <c r="ED234" s="35"/>
      <c r="EE234" s="35"/>
      <c r="EF234" s="35"/>
      <c r="EG234" s="35"/>
      <c r="EH234" s="35"/>
      <c r="EI234" s="35"/>
      <c r="EJ234" s="35"/>
      <c r="EK234" s="35"/>
      <c r="EL234" s="35"/>
      <c r="EM234" s="35"/>
      <c r="EN234" s="35"/>
      <c r="EO234" s="35"/>
      <c r="EP234" s="35"/>
      <c r="EQ234" s="35"/>
      <c r="ER234" s="35"/>
      <c r="ES234" s="35"/>
      <c r="ET234" s="35"/>
      <c r="EU234" s="35"/>
      <c r="EV234" s="35"/>
      <c r="EW234" s="35"/>
      <c r="EX234" s="35"/>
      <c r="EY234" s="35"/>
      <c r="EZ234" s="35"/>
      <c r="FA234" s="35"/>
      <c r="FB234" s="35"/>
      <c r="FC234" s="35"/>
      <c r="FD234" s="35"/>
      <c r="FE234" s="35"/>
      <c r="FF234" s="35"/>
      <c r="FG234" s="35"/>
      <c r="FH234" s="35"/>
      <c r="FI234" s="35"/>
      <c r="FJ234" s="35"/>
      <c r="FK234" s="35"/>
      <c r="FL234" s="35"/>
      <c r="FM234" s="35"/>
      <c r="FN234" s="35"/>
      <c r="FO234" s="35"/>
      <c r="FP234" s="35"/>
      <c r="FQ234" s="35"/>
      <c r="FR234" s="35"/>
      <c r="FS234" s="35"/>
      <c r="FT234" s="35"/>
      <c r="FU234" s="35"/>
      <c r="FV234" s="35"/>
      <c r="FW234" s="35"/>
      <c r="FX234" s="35"/>
      <c r="FY234" s="35"/>
      <c r="FZ234" s="35"/>
      <c r="GA234" s="35"/>
      <c r="GB234" s="35"/>
      <c r="GC234" s="35"/>
      <c r="GD234" s="35"/>
      <c r="GE234" s="35"/>
      <c r="GF234" s="35"/>
      <c r="GG234" s="35"/>
      <c r="GH234" s="35"/>
      <c r="GI234" s="35"/>
      <c r="GJ234" s="35"/>
      <c r="GK234" s="35"/>
      <c r="GL234" s="35"/>
      <c r="GM234" s="35"/>
      <c r="GN234" s="35"/>
      <c r="GO234" s="35"/>
      <c r="GP234" s="35"/>
      <c r="GQ234" s="35"/>
      <c r="GR234" s="35"/>
      <c r="GS234" s="35"/>
      <c r="GT234" s="35"/>
      <c r="GU234" s="35"/>
      <c r="GV234" s="35"/>
      <c r="GW234" s="35"/>
      <c r="GX234" s="35"/>
      <c r="GY234" s="35"/>
      <c r="GZ234" s="35"/>
      <c r="HA234" s="35"/>
      <c r="HB234" s="35"/>
      <c r="HC234" s="35"/>
      <c r="HD234" s="35"/>
      <c r="HE234" s="35"/>
      <c r="HF234" s="35"/>
      <c r="HG234" s="35"/>
      <c r="HH234" s="35"/>
      <c r="HI234" s="35"/>
      <c r="HJ234" s="35"/>
      <c r="HK234" s="35"/>
      <c r="HL234" s="35"/>
      <c r="HM234" s="35"/>
      <c r="HN234" s="35"/>
      <c r="HO234" s="35"/>
      <c r="HP234" s="35"/>
      <c r="HQ234" s="35"/>
      <c r="HR234" s="35"/>
      <c r="HS234" s="35"/>
      <c r="HT234" s="35"/>
      <c r="HU234" s="35"/>
      <c r="HV234" s="35"/>
      <c r="HW234" s="35"/>
      <c r="HX234" s="35"/>
      <c r="HY234" s="35"/>
      <c r="HZ234" s="35"/>
      <c r="IA234" s="35"/>
      <c r="IB234" s="35"/>
      <c r="IC234" s="35"/>
      <c r="ID234" s="35"/>
      <c r="IE234" s="35"/>
      <c r="IF234" s="35"/>
      <c r="IG234" s="35"/>
      <c r="IH234" s="35"/>
      <c r="II234" s="35"/>
      <c r="IJ234" s="35"/>
      <c r="IK234" s="35"/>
      <c r="IL234" s="35"/>
      <c r="IM234" s="35"/>
      <c r="IN234" s="35"/>
      <c r="IO234" s="35"/>
      <c r="IP234" s="35"/>
      <c r="IQ234" s="35"/>
      <c r="IR234" s="35"/>
      <c r="IS234" s="35"/>
      <c r="IT234" s="35"/>
      <c r="IU234" s="35"/>
      <c r="IV234" s="35"/>
      <c r="IW234" s="35"/>
      <c r="IX234" s="35"/>
      <c r="IY234" s="35"/>
      <c r="IZ234" s="35"/>
      <c r="JA234" s="35"/>
      <c r="JB234" s="35"/>
      <c r="JC234" s="35"/>
      <c r="JD234" s="35"/>
      <c r="JE234" s="35"/>
      <c r="JF234" s="35"/>
      <c r="JG234" s="35"/>
      <c r="JH234" s="35"/>
      <c r="JI234" s="35"/>
      <c r="JJ234" s="35"/>
      <c r="JK234" s="35"/>
      <c r="JL234" s="35"/>
      <c r="JM234" s="35"/>
      <c r="JN234" s="35"/>
      <c r="JO234" s="35"/>
      <c r="JP234" s="35"/>
      <c r="JQ234" s="35"/>
      <c r="JR234" s="35"/>
      <c r="JS234" s="35"/>
      <c r="JT234" s="35"/>
      <c r="JU234" s="35"/>
      <c r="JV234" s="35"/>
      <c r="JW234" s="35"/>
      <c r="JX234" s="35"/>
      <c r="JY234" s="35"/>
    </row>
    <row r="235">
      <c r="A235" s="28" t="s">
        <v>445</v>
      </c>
      <c r="B235" s="30"/>
      <c r="C235" s="78"/>
      <c r="D235" s="30"/>
      <c r="E235" s="31"/>
      <c r="F235" s="32"/>
      <c r="G235" s="32"/>
      <c r="H235" s="33"/>
      <c r="I235" s="72"/>
      <c r="J235" s="32"/>
      <c r="K235" s="33"/>
      <c r="L235" s="36" t="b">
        <v>0</v>
      </c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  <c r="DW235" s="35"/>
      <c r="DX235" s="35"/>
      <c r="DY235" s="35"/>
      <c r="DZ235" s="35"/>
      <c r="EA235" s="35"/>
      <c r="EB235" s="35"/>
      <c r="EC235" s="35"/>
      <c r="ED235" s="35"/>
      <c r="EE235" s="35"/>
      <c r="EF235" s="35"/>
      <c r="EG235" s="35"/>
      <c r="EH235" s="35"/>
      <c r="EI235" s="35"/>
      <c r="EJ235" s="35"/>
      <c r="EK235" s="35"/>
      <c r="EL235" s="35"/>
      <c r="EM235" s="35"/>
      <c r="EN235" s="35"/>
      <c r="EO235" s="35"/>
      <c r="EP235" s="35"/>
      <c r="EQ235" s="35"/>
      <c r="ER235" s="35"/>
      <c r="ES235" s="35"/>
      <c r="ET235" s="35"/>
      <c r="EU235" s="35"/>
      <c r="EV235" s="35"/>
      <c r="EW235" s="35"/>
      <c r="EX235" s="35"/>
      <c r="EY235" s="35"/>
      <c r="EZ235" s="35"/>
      <c r="FA235" s="35"/>
      <c r="FB235" s="35"/>
      <c r="FC235" s="35"/>
      <c r="FD235" s="35"/>
      <c r="FE235" s="35"/>
      <c r="FF235" s="35"/>
      <c r="FG235" s="35"/>
      <c r="FH235" s="35"/>
      <c r="FI235" s="35"/>
      <c r="FJ235" s="35"/>
      <c r="FK235" s="35"/>
      <c r="FL235" s="35"/>
      <c r="FM235" s="35"/>
      <c r="FN235" s="35"/>
      <c r="FO235" s="35"/>
      <c r="FP235" s="35"/>
      <c r="FQ235" s="35"/>
      <c r="FR235" s="35"/>
      <c r="FS235" s="35"/>
      <c r="FT235" s="35"/>
      <c r="FU235" s="35"/>
      <c r="FV235" s="35"/>
      <c r="FW235" s="35"/>
      <c r="FX235" s="35"/>
      <c r="FY235" s="35"/>
      <c r="FZ235" s="35"/>
      <c r="GA235" s="35"/>
      <c r="GB235" s="35"/>
      <c r="GC235" s="35"/>
      <c r="GD235" s="35"/>
      <c r="GE235" s="35"/>
      <c r="GF235" s="35"/>
      <c r="GG235" s="35"/>
      <c r="GH235" s="35"/>
      <c r="GI235" s="35"/>
      <c r="GJ235" s="35"/>
      <c r="GK235" s="35"/>
      <c r="GL235" s="35"/>
      <c r="GM235" s="35"/>
      <c r="GN235" s="35"/>
      <c r="GO235" s="35"/>
      <c r="GP235" s="35"/>
      <c r="GQ235" s="35"/>
      <c r="GR235" s="35"/>
      <c r="GS235" s="35"/>
      <c r="GT235" s="35"/>
      <c r="GU235" s="35"/>
      <c r="GV235" s="35"/>
      <c r="GW235" s="35"/>
      <c r="GX235" s="35"/>
      <c r="GY235" s="35"/>
      <c r="GZ235" s="35"/>
      <c r="HA235" s="35"/>
      <c r="HB235" s="35"/>
      <c r="HC235" s="35"/>
      <c r="HD235" s="35"/>
      <c r="HE235" s="35"/>
      <c r="HF235" s="35"/>
      <c r="HG235" s="35"/>
      <c r="HH235" s="35"/>
      <c r="HI235" s="35"/>
      <c r="HJ235" s="35"/>
      <c r="HK235" s="35"/>
      <c r="HL235" s="35"/>
      <c r="HM235" s="35"/>
      <c r="HN235" s="35"/>
      <c r="HO235" s="35"/>
      <c r="HP235" s="35"/>
      <c r="HQ235" s="35"/>
      <c r="HR235" s="35"/>
      <c r="HS235" s="35"/>
      <c r="HT235" s="35"/>
      <c r="HU235" s="35"/>
      <c r="HV235" s="35"/>
      <c r="HW235" s="35"/>
      <c r="HX235" s="35"/>
      <c r="HY235" s="35"/>
      <c r="HZ235" s="35"/>
      <c r="IA235" s="35"/>
      <c r="IB235" s="35"/>
      <c r="IC235" s="35"/>
      <c r="ID235" s="35"/>
      <c r="IE235" s="35"/>
      <c r="IF235" s="35"/>
      <c r="IG235" s="35"/>
      <c r="IH235" s="35"/>
      <c r="II235" s="35"/>
      <c r="IJ235" s="35"/>
      <c r="IK235" s="35"/>
      <c r="IL235" s="35"/>
      <c r="IM235" s="35"/>
      <c r="IN235" s="35"/>
      <c r="IO235" s="35"/>
      <c r="IP235" s="35"/>
      <c r="IQ235" s="35"/>
      <c r="IR235" s="35"/>
      <c r="IS235" s="35"/>
      <c r="IT235" s="35"/>
      <c r="IU235" s="35"/>
      <c r="IV235" s="35"/>
      <c r="IW235" s="35"/>
      <c r="IX235" s="35"/>
      <c r="IY235" s="35"/>
      <c r="IZ235" s="35"/>
      <c r="JA235" s="35"/>
      <c r="JB235" s="35"/>
      <c r="JC235" s="35"/>
      <c r="JD235" s="35"/>
      <c r="JE235" s="35"/>
      <c r="JF235" s="35"/>
      <c r="JG235" s="35"/>
      <c r="JH235" s="35"/>
      <c r="JI235" s="35"/>
      <c r="JJ235" s="35"/>
      <c r="JK235" s="35"/>
      <c r="JL235" s="35"/>
      <c r="JM235" s="35"/>
      <c r="JN235" s="35"/>
      <c r="JO235" s="35"/>
      <c r="JP235" s="35"/>
      <c r="JQ235" s="35"/>
      <c r="JR235" s="35"/>
      <c r="JS235" s="35"/>
      <c r="JT235" s="35"/>
      <c r="JU235" s="35"/>
      <c r="JV235" s="35"/>
      <c r="JW235" s="35"/>
      <c r="JX235" s="35"/>
      <c r="JY235" s="35"/>
    </row>
    <row r="236">
      <c r="A236" s="28" t="s">
        <v>446</v>
      </c>
      <c r="B236" s="30"/>
      <c r="C236" s="78"/>
      <c r="D236" s="30"/>
      <c r="E236" s="31"/>
      <c r="F236" s="32"/>
      <c r="G236" s="32"/>
      <c r="H236" s="33"/>
      <c r="I236" s="72"/>
      <c r="J236" s="32"/>
      <c r="K236" s="33"/>
      <c r="L236" s="36" t="b">
        <v>0</v>
      </c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  <c r="DW236" s="35"/>
      <c r="DX236" s="35"/>
      <c r="DY236" s="35"/>
      <c r="DZ236" s="35"/>
      <c r="EA236" s="35"/>
      <c r="EB236" s="35"/>
      <c r="EC236" s="35"/>
      <c r="ED236" s="35"/>
      <c r="EE236" s="35"/>
      <c r="EF236" s="35"/>
      <c r="EG236" s="35"/>
      <c r="EH236" s="35"/>
      <c r="EI236" s="35"/>
      <c r="EJ236" s="35"/>
      <c r="EK236" s="35"/>
      <c r="EL236" s="35"/>
      <c r="EM236" s="35"/>
      <c r="EN236" s="35"/>
      <c r="EO236" s="35"/>
      <c r="EP236" s="35"/>
      <c r="EQ236" s="35"/>
      <c r="ER236" s="35"/>
      <c r="ES236" s="35"/>
      <c r="ET236" s="35"/>
      <c r="EU236" s="35"/>
      <c r="EV236" s="35"/>
      <c r="EW236" s="35"/>
      <c r="EX236" s="35"/>
      <c r="EY236" s="35"/>
      <c r="EZ236" s="35"/>
      <c r="FA236" s="35"/>
      <c r="FB236" s="35"/>
      <c r="FC236" s="35"/>
      <c r="FD236" s="35"/>
      <c r="FE236" s="35"/>
      <c r="FF236" s="35"/>
      <c r="FG236" s="35"/>
      <c r="FH236" s="35"/>
      <c r="FI236" s="35"/>
      <c r="FJ236" s="35"/>
      <c r="FK236" s="35"/>
      <c r="FL236" s="35"/>
      <c r="FM236" s="35"/>
      <c r="FN236" s="35"/>
      <c r="FO236" s="35"/>
      <c r="FP236" s="35"/>
      <c r="FQ236" s="35"/>
      <c r="FR236" s="35"/>
      <c r="FS236" s="35"/>
      <c r="FT236" s="35"/>
      <c r="FU236" s="35"/>
      <c r="FV236" s="35"/>
      <c r="FW236" s="35"/>
      <c r="FX236" s="35"/>
      <c r="FY236" s="35"/>
      <c r="FZ236" s="35"/>
      <c r="GA236" s="35"/>
      <c r="GB236" s="35"/>
      <c r="GC236" s="35"/>
      <c r="GD236" s="35"/>
      <c r="GE236" s="35"/>
      <c r="GF236" s="35"/>
      <c r="GG236" s="35"/>
      <c r="GH236" s="35"/>
      <c r="GI236" s="35"/>
      <c r="GJ236" s="35"/>
      <c r="GK236" s="35"/>
      <c r="GL236" s="35"/>
      <c r="GM236" s="35"/>
      <c r="GN236" s="35"/>
      <c r="GO236" s="35"/>
      <c r="GP236" s="35"/>
      <c r="GQ236" s="35"/>
      <c r="GR236" s="35"/>
      <c r="GS236" s="35"/>
      <c r="GT236" s="35"/>
      <c r="GU236" s="35"/>
      <c r="GV236" s="35"/>
      <c r="GW236" s="35"/>
      <c r="GX236" s="35"/>
      <c r="GY236" s="35"/>
      <c r="GZ236" s="35"/>
      <c r="HA236" s="35"/>
      <c r="HB236" s="35"/>
      <c r="HC236" s="35"/>
      <c r="HD236" s="35"/>
      <c r="HE236" s="35"/>
      <c r="HF236" s="35"/>
      <c r="HG236" s="35"/>
      <c r="HH236" s="35"/>
      <c r="HI236" s="35"/>
      <c r="HJ236" s="35"/>
      <c r="HK236" s="35"/>
      <c r="HL236" s="35"/>
      <c r="HM236" s="35"/>
      <c r="HN236" s="35"/>
      <c r="HO236" s="35"/>
      <c r="HP236" s="35"/>
      <c r="HQ236" s="35"/>
      <c r="HR236" s="35"/>
      <c r="HS236" s="35"/>
      <c r="HT236" s="35"/>
      <c r="HU236" s="35"/>
      <c r="HV236" s="35"/>
      <c r="HW236" s="35"/>
      <c r="HX236" s="35"/>
      <c r="HY236" s="35"/>
      <c r="HZ236" s="35"/>
      <c r="IA236" s="35"/>
      <c r="IB236" s="35"/>
      <c r="IC236" s="35"/>
      <c r="ID236" s="35"/>
      <c r="IE236" s="35"/>
      <c r="IF236" s="35"/>
      <c r="IG236" s="35"/>
      <c r="IH236" s="35"/>
      <c r="II236" s="35"/>
      <c r="IJ236" s="35"/>
      <c r="IK236" s="35"/>
      <c r="IL236" s="35"/>
      <c r="IM236" s="35"/>
      <c r="IN236" s="35"/>
      <c r="IO236" s="35"/>
      <c r="IP236" s="35"/>
      <c r="IQ236" s="35"/>
      <c r="IR236" s="35"/>
      <c r="IS236" s="35"/>
      <c r="IT236" s="35"/>
      <c r="IU236" s="35"/>
      <c r="IV236" s="35"/>
      <c r="IW236" s="35"/>
      <c r="IX236" s="35"/>
      <c r="IY236" s="35"/>
      <c r="IZ236" s="35"/>
      <c r="JA236" s="35"/>
      <c r="JB236" s="35"/>
      <c r="JC236" s="35"/>
      <c r="JD236" s="35"/>
      <c r="JE236" s="35"/>
      <c r="JF236" s="35"/>
      <c r="JG236" s="35"/>
      <c r="JH236" s="35"/>
      <c r="JI236" s="35"/>
      <c r="JJ236" s="35"/>
      <c r="JK236" s="35"/>
      <c r="JL236" s="35"/>
      <c r="JM236" s="35"/>
      <c r="JN236" s="35"/>
      <c r="JO236" s="35"/>
      <c r="JP236" s="35"/>
      <c r="JQ236" s="35"/>
      <c r="JR236" s="35"/>
      <c r="JS236" s="35"/>
      <c r="JT236" s="35"/>
      <c r="JU236" s="35"/>
      <c r="JV236" s="35"/>
      <c r="JW236" s="35"/>
      <c r="JX236" s="35"/>
      <c r="JY236" s="35"/>
    </row>
    <row r="237">
      <c r="A237" s="28" t="s">
        <v>447</v>
      </c>
      <c r="B237" s="30"/>
      <c r="C237" s="78"/>
      <c r="D237" s="30"/>
      <c r="E237" s="31"/>
      <c r="F237" s="32"/>
      <c r="G237" s="32"/>
      <c r="H237" s="33"/>
      <c r="I237" s="72"/>
      <c r="J237" s="32"/>
      <c r="K237" s="33"/>
      <c r="L237" s="36" t="b">
        <v>0</v>
      </c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5"/>
      <c r="EI237" s="35"/>
      <c r="EJ237" s="35"/>
      <c r="EK237" s="35"/>
      <c r="EL237" s="35"/>
      <c r="EM237" s="35"/>
      <c r="EN237" s="35"/>
      <c r="EO237" s="35"/>
      <c r="EP237" s="35"/>
      <c r="EQ237" s="35"/>
      <c r="ER237" s="35"/>
      <c r="ES237" s="35"/>
      <c r="ET237" s="35"/>
      <c r="EU237" s="35"/>
      <c r="EV237" s="35"/>
      <c r="EW237" s="35"/>
      <c r="EX237" s="35"/>
      <c r="EY237" s="35"/>
      <c r="EZ237" s="35"/>
      <c r="FA237" s="35"/>
      <c r="FB237" s="35"/>
      <c r="FC237" s="35"/>
      <c r="FD237" s="35"/>
      <c r="FE237" s="35"/>
      <c r="FF237" s="35"/>
      <c r="FG237" s="35"/>
      <c r="FH237" s="35"/>
      <c r="FI237" s="35"/>
      <c r="FJ237" s="35"/>
      <c r="FK237" s="35"/>
      <c r="FL237" s="35"/>
      <c r="FM237" s="35"/>
      <c r="FN237" s="35"/>
      <c r="FO237" s="35"/>
      <c r="FP237" s="35"/>
      <c r="FQ237" s="35"/>
      <c r="FR237" s="35"/>
      <c r="FS237" s="35"/>
      <c r="FT237" s="35"/>
      <c r="FU237" s="35"/>
      <c r="FV237" s="35"/>
      <c r="FW237" s="35"/>
      <c r="FX237" s="35"/>
      <c r="FY237" s="35"/>
      <c r="FZ237" s="35"/>
      <c r="GA237" s="35"/>
      <c r="GB237" s="35"/>
      <c r="GC237" s="35"/>
      <c r="GD237" s="35"/>
      <c r="GE237" s="35"/>
      <c r="GF237" s="35"/>
      <c r="GG237" s="35"/>
      <c r="GH237" s="35"/>
      <c r="GI237" s="35"/>
      <c r="GJ237" s="35"/>
      <c r="GK237" s="35"/>
      <c r="GL237" s="35"/>
      <c r="GM237" s="35"/>
      <c r="GN237" s="35"/>
      <c r="GO237" s="35"/>
      <c r="GP237" s="35"/>
      <c r="GQ237" s="35"/>
      <c r="GR237" s="35"/>
      <c r="GS237" s="35"/>
      <c r="GT237" s="35"/>
      <c r="GU237" s="35"/>
      <c r="GV237" s="35"/>
      <c r="GW237" s="35"/>
      <c r="GX237" s="35"/>
      <c r="GY237" s="35"/>
      <c r="GZ237" s="35"/>
      <c r="HA237" s="35"/>
      <c r="HB237" s="35"/>
      <c r="HC237" s="35"/>
      <c r="HD237" s="35"/>
      <c r="HE237" s="35"/>
      <c r="HF237" s="35"/>
      <c r="HG237" s="35"/>
      <c r="HH237" s="35"/>
      <c r="HI237" s="35"/>
      <c r="HJ237" s="35"/>
      <c r="HK237" s="35"/>
      <c r="HL237" s="35"/>
      <c r="HM237" s="35"/>
      <c r="HN237" s="35"/>
      <c r="HO237" s="35"/>
      <c r="HP237" s="35"/>
      <c r="HQ237" s="35"/>
      <c r="HR237" s="35"/>
      <c r="HS237" s="35"/>
      <c r="HT237" s="35"/>
      <c r="HU237" s="35"/>
      <c r="HV237" s="35"/>
      <c r="HW237" s="35"/>
      <c r="HX237" s="35"/>
      <c r="HY237" s="35"/>
      <c r="HZ237" s="35"/>
      <c r="IA237" s="35"/>
      <c r="IB237" s="35"/>
      <c r="IC237" s="35"/>
      <c r="ID237" s="35"/>
      <c r="IE237" s="35"/>
      <c r="IF237" s="35"/>
      <c r="IG237" s="35"/>
      <c r="IH237" s="35"/>
      <c r="II237" s="35"/>
      <c r="IJ237" s="35"/>
      <c r="IK237" s="35"/>
      <c r="IL237" s="35"/>
      <c r="IM237" s="35"/>
      <c r="IN237" s="35"/>
      <c r="IO237" s="35"/>
      <c r="IP237" s="35"/>
      <c r="IQ237" s="35"/>
      <c r="IR237" s="35"/>
      <c r="IS237" s="35"/>
      <c r="IT237" s="35"/>
      <c r="IU237" s="35"/>
      <c r="IV237" s="35"/>
      <c r="IW237" s="35"/>
      <c r="IX237" s="35"/>
      <c r="IY237" s="35"/>
      <c r="IZ237" s="35"/>
      <c r="JA237" s="35"/>
      <c r="JB237" s="35"/>
      <c r="JC237" s="35"/>
      <c r="JD237" s="35"/>
      <c r="JE237" s="35"/>
      <c r="JF237" s="35"/>
      <c r="JG237" s="35"/>
      <c r="JH237" s="35"/>
      <c r="JI237" s="35"/>
      <c r="JJ237" s="35"/>
      <c r="JK237" s="35"/>
      <c r="JL237" s="35"/>
      <c r="JM237" s="35"/>
      <c r="JN237" s="35"/>
      <c r="JO237" s="35"/>
      <c r="JP237" s="35"/>
      <c r="JQ237" s="35"/>
      <c r="JR237" s="35"/>
      <c r="JS237" s="35"/>
      <c r="JT237" s="35"/>
      <c r="JU237" s="35"/>
      <c r="JV237" s="35"/>
      <c r="JW237" s="35"/>
      <c r="JX237" s="35"/>
      <c r="JY237" s="35"/>
    </row>
    <row r="238">
      <c r="A238" s="28" t="s">
        <v>448</v>
      </c>
      <c r="B238" s="30"/>
      <c r="C238" s="78"/>
      <c r="D238" s="30"/>
      <c r="E238" s="31"/>
      <c r="F238" s="32"/>
      <c r="G238" s="32"/>
      <c r="H238" s="33"/>
      <c r="I238" s="72"/>
      <c r="J238" s="32"/>
      <c r="K238" s="33"/>
      <c r="L238" s="36" t="b">
        <v>0</v>
      </c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  <c r="DW238" s="35"/>
      <c r="DX238" s="35"/>
      <c r="DY238" s="35"/>
      <c r="DZ238" s="35"/>
      <c r="EA238" s="35"/>
      <c r="EB238" s="35"/>
      <c r="EC238" s="35"/>
      <c r="ED238" s="35"/>
      <c r="EE238" s="35"/>
      <c r="EF238" s="35"/>
      <c r="EG238" s="35"/>
      <c r="EH238" s="35"/>
      <c r="EI238" s="35"/>
      <c r="EJ238" s="35"/>
      <c r="EK238" s="35"/>
      <c r="EL238" s="35"/>
      <c r="EM238" s="35"/>
      <c r="EN238" s="35"/>
      <c r="EO238" s="35"/>
      <c r="EP238" s="35"/>
      <c r="EQ238" s="35"/>
      <c r="ER238" s="35"/>
      <c r="ES238" s="35"/>
      <c r="ET238" s="35"/>
      <c r="EU238" s="35"/>
      <c r="EV238" s="35"/>
      <c r="EW238" s="35"/>
      <c r="EX238" s="35"/>
      <c r="EY238" s="35"/>
      <c r="EZ238" s="35"/>
      <c r="FA238" s="35"/>
      <c r="FB238" s="35"/>
      <c r="FC238" s="35"/>
      <c r="FD238" s="35"/>
      <c r="FE238" s="35"/>
      <c r="FF238" s="35"/>
      <c r="FG238" s="35"/>
      <c r="FH238" s="35"/>
      <c r="FI238" s="35"/>
      <c r="FJ238" s="35"/>
      <c r="FK238" s="35"/>
      <c r="FL238" s="35"/>
      <c r="FM238" s="35"/>
      <c r="FN238" s="35"/>
      <c r="FO238" s="35"/>
      <c r="FP238" s="35"/>
      <c r="FQ238" s="35"/>
      <c r="FR238" s="35"/>
      <c r="FS238" s="35"/>
      <c r="FT238" s="35"/>
      <c r="FU238" s="35"/>
      <c r="FV238" s="35"/>
      <c r="FW238" s="35"/>
      <c r="FX238" s="35"/>
      <c r="FY238" s="35"/>
      <c r="FZ238" s="35"/>
      <c r="GA238" s="35"/>
      <c r="GB238" s="35"/>
      <c r="GC238" s="35"/>
      <c r="GD238" s="35"/>
      <c r="GE238" s="35"/>
      <c r="GF238" s="35"/>
      <c r="GG238" s="35"/>
      <c r="GH238" s="35"/>
      <c r="GI238" s="35"/>
      <c r="GJ238" s="35"/>
      <c r="GK238" s="35"/>
      <c r="GL238" s="35"/>
      <c r="GM238" s="35"/>
      <c r="GN238" s="35"/>
      <c r="GO238" s="35"/>
      <c r="GP238" s="35"/>
      <c r="GQ238" s="35"/>
      <c r="GR238" s="35"/>
      <c r="GS238" s="35"/>
      <c r="GT238" s="35"/>
      <c r="GU238" s="35"/>
      <c r="GV238" s="35"/>
      <c r="GW238" s="35"/>
      <c r="GX238" s="35"/>
      <c r="GY238" s="35"/>
      <c r="GZ238" s="35"/>
      <c r="HA238" s="35"/>
      <c r="HB238" s="35"/>
      <c r="HC238" s="35"/>
      <c r="HD238" s="35"/>
      <c r="HE238" s="35"/>
      <c r="HF238" s="35"/>
      <c r="HG238" s="35"/>
      <c r="HH238" s="35"/>
      <c r="HI238" s="35"/>
      <c r="HJ238" s="35"/>
      <c r="HK238" s="35"/>
      <c r="HL238" s="35"/>
      <c r="HM238" s="35"/>
      <c r="HN238" s="35"/>
      <c r="HO238" s="35"/>
      <c r="HP238" s="35"/>
      <c r="HQ238" s="35"/>
      <c r="HR238" s="35"/>
      <c r="HS238" s="35"/>
      <c r="HT238" s="35"/>
      <c r="HU238" s="35"/>
      <c r="HV238" s="35"/>
      <c r="HW238" s="35"/>
      <c r="HX238" s="35"/>
      <c r="HY238" s="35"/>
      <c r="HZ238" s="35"/>
      <c r="IA238" s="35"/>
      <c r="IB238" s="35"/>
      <c r="IC238" s="35"/>
      <c r="ID238" s="35"/>
      <c r="IE238" s="35"/>
      <c r="IF238" s="35"/>
      <c r="IG238" s="35"/>
      <c r="IH238" s="35"/>
      <c r="II238" s="35"/>
      <c r="IJ238" s="35"/>
      <c r="IK238" s="35"/>
      <c r="IL238" s="35"/>
      <c r="IM238" s="35"/>
      <c r="IN238" s="35"/>
      <c r="IO238" s="35"/>
      <c r="IP238" s="35"/>
      <c r="IQ238" s="35"/>
      <c r="IR238" s="35"/>
      <c r="IS238" s="35"/>
      <c r="IT238" s="35"/>
      <c r="IU238" s="35"/>
      <c r="IV238" s="35"/>
      <c r="IW238" s="35"/>
      <c r="IX238" s="35"/>
      <c r="IY238" s="35"/>
      <c r="IZ238" s="35"/>
      <c r="JA238" s="35"/>
      <c r="JB238" s="35"/>
      <c r="JC238" s="35"/>
      <c r="JD238" s="35"/>
      <c r="JE238" s="35"/>
      <c r="JF238" s="35"/>
      <c r="JG238" s="35"/>
      <c r="JH238" s="35"/>
      <c r="JI238" s="35"/>
      <c r="JJ238" s="35"/>
      <c r="JK238" s="35"/>
      <c r="JL238" s="35"/>
      <c r="JM238" s="35"/>
      <c r="JN238" s="35"/>
      <c r="JO238" s="35"/>
      <c r="JP238" s="35"/>
      <c r="JQ238" s="35"/>
      <c r="JR238" s="35"/>
      <c r="JS238" s="35"/>
      <c r="JT238" s="35"/>
      <c r="JU238" s="35"/>
      <c r="JV238" s="35"/>
      <c r="JW238" s="35"/>
      <c r="JX238" s="35"/>
      <c r="JY238" s="35"/>
    </row>
    <row r="239">
      <c r="A239" s="28" t="s">
        <v>449</v>
      </c>
      <c r="B239" s="30"/>
      <c r="C239" s="78"/>
      <c r="D239" s="30"/>
      <c r="E239" s="31"/>
      <c r="F239" s="32"/>
      <c r="G239" s="32"/>
      <c r="H239" s="33"/>
      <c r="I239" s="72"/>
      <c r="J239" s="32"/>
      <c r="K239" s="33"/>
      <c r="L239" s="36" t="b">
        <v>0</v>
      </c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35"/>
      <c r="DX239" s="35"/>
      <c r="DY239" s="35"/>
      <c r="DZ239" s="35"/>
      <c r="EA239" s="35"/>
      <c r="EB239" s="35"/>
      <c r="EC239" s="35"/>
      <c r="ED239" s="35"/>
      <c r="EE239" s="35"/>
      <c r="EF239" s="35"/>
      <c r="EG239" s="35"/>
      <c r="EH239" s="35"/>
      <c r="EI239" s="35"/>
      <c r="EJ239" s="35"/>
      <c r="EK239" s="35"/>
      <c r="EL239" s="35"/>
      <c r="EM239" s="35"/>
      <c r="EN239" s="35"/>
      <c r="EO239" s="35"/>
      <c r="EP239" s="35"/>
      <c r="EQ239" s="35"/>
      <c r="ER239" s="35"/>
      <c r="ES239" s="35"/>
      <c r="ET239" s="35"/>
      <c r="EU239" s="35"/>
      <c r="EV239" s="35"/>
      <c r="EW239" s="35"/>
      <c r="EX239" s="35"/>
      <c r="EY239" s="35"/>
      <c r="EZ239" s="35"/>
      <c r="FA239" s="35"/>
      <c r="FB239" s="35"/>
      <c r="FC239" s="35"/>
      <c r="FD239" s="35"/>
      <c r="FE239" s="35"/>
      <c r="FF239" s="35"/>
      <c r="FG239" s="35"/>
      <c r="FH239" s="35"/>
      <c r="FI239" s="35"/>
      <c r="FJ239" s="35"/>
      <c r="FK239" s="35"/>
      <c r="FL239" s="35"/>
      <c r="FM239" s="35"/>
      <c r="FN239" s="35"/>
      <c r="FO239" s="35"/>
      <c r="FP239" s="35"/>
      <c r="FQ239" s="35"/>
      <c r="FR239" s="35"/>
      <c r="FS239" s="35"/>
      <c r="FT239" s="35"/>
      <c r="FU239" s="35"/>
      <c r="FV239" s="35"/>
      <c r="FW239" s="35"/>
      <c r="FX239" s="35"/>
      <c r="FY239" s="35"/>
      <c r="FZ239" s="35"/>
      <c r="GA239" s="35"/>
      <c r="GB239" s="35"/>
      <c r="GC239" s="35"/>
      <c r="GD239" s="35"/>
      <c r="GE239" s="35"/>
      <c r="GF239" s="35"/>
      <c r="GG239" s="35"/>
      <c r="GH239" s="35"/>
      <c r="GI239" s="35"/>
      <c r="GJ239" s="35"/>
      <c r="GK239" s="35"/>
      <c r="GL239" s="35"/>
      <c r="GM239" s="35"/>
      <c r="GN239" s="35"/>
      <c r="GO239" s="35"/>
      <c r="GP239" s="35"/>
      <c r="GQ239" s="35"/>
      <c r="GR239" s="35"/>
      <c r="GS239" s="35"/>
      <c r="GT239" s="35"/>
      <c r="GU239" s="35"/>
      <c r="GV239" s="35"/>
      <c r="GW239" s="35"/>
      <c r="GX239" s="35"/>
      <c r="GY239" s="35"/>
      <c r="GZ239" s="35"/>
      <c r="HA239" s="35"/>
      <c r="HB239" s="35"/>
      <c r="HC239" s="35"/>
      <c r="HD239" s="35"/>
      <c r="HE239" s="35"/>
      <c r="HF239" s="35"/>
      <c r="HG239" s="35"/>
      <c r="HH239" s="35"/>
      <c r="HI239" s="35"/>
      <c r="HJ239" s="35"/>
      <c r="HK239" s="35"/>
      <c r="HL239" s="35"/>
      <c r="HM239" s="35"/>
      <c r="HN239" s="35"/>
      <c r="HO239" s="35"/>
      <c r="HP239" s="35"/>
      <c r="HQ239" s="35"/>
      <c r="HR239" s="35"/>
      <c r="HS239" s="35"/>
      <c r="HT239" s="35"/>
      <c r="HU239" s="35"/>
      <c r="HV239" s="35"/>
      <c r="HW239" s="35"/>
      <c r="HX239" s="35"/>
      <c r="HY239" s="35"/>
      <c r="HZ239" s="35"/>
      <c r="IA239" s="35"/>
      <c r="IB239" s="35"/>
      <c r="IC239" s="35"/>
      <c r="ID239" s="35"/>
      <c r="IE239" s="35"/>
      <c r="IF239" s="35"/>
      <c r="IG239" s="35"/>
      <c r="IH239" s="35"/>
      <c r="II239" s="35"/>
      <c r="IJ239" s="35"/>
      <c r="IK239" s="35"/>
      <c r="IL239" s="35"/>
      <c r="IM239" s="35"/>
      <c r="IN239" s="35"/>
      <c r="IO239" s="35"/>
      <c r="IP239" s="35"/>
      <c r="IQ239" s="35"/>
      <c r="IR239" s="35"/>
      <c r="IS239" s="35"/>
      <c r="IT239" s="35"/>
      <c r="IU239" s="35"/>
      <c r="IV239" s="35"/>
      <c r="IW239" s="35"/>
      <c r="IX239" s="35"/>
      <c r="IY239" s="35"/>
      <c r="IZ239" s="35"/>
      <c r="JA239" s="35"/>
      <c r="JB239" s="35"/>
      <c r="JC239" s="35"/>
      <c r="JD239" s="35"/>
      <c r="JE239" s="35"/>
      <c r="JF239" s="35"/>
      <c r="JG239" s="35"/>
      <c r="JH239" s="35"/>
      <c r="JI239" s="35"/>
      <c r="JJ239" s="35"/>
      <c r="JK239" s="35"/>
      <c r="JL239" s="35"/>
      <c r="JM239" s="35"/>
      <c r="JN239" s="35"/>
      <c r="JO239" s="35"/>
      <c r="JP239" s="35"/>
      <c r="JQ239" s="35"/>
      <c r="JR239" s="35"/>
      <c r="JS239" s="35"/>
      <c r="JT239" s="35"/>
      <c r="JU239" s="35"/>
      <c r="JV239" s="35"/>
      <c r="JW239" s="35"/>
      <c r="JX239" s="35"/>
      <c r="JY239" s="35"/>
    </row>
    <row r="240">
      <c r="A240" s="28" t="s">
        <v>450</v>
      </c>
      <c r="B240" s="30"/>
      <c r="C240" s="78"/>
      <c r="D240" s="30"/>
      <c r="E240" s="31"/>
      <c r="F240" s="32"/>
      <c r="G240" s="32"/>
      <c r="H240" s="33"/>
      <c r="I240" s="72"/>
      <c r="J240" s="32"/>
      <c r="K240" s="33"/>
      <c r="L240" s="36" t="b">
        <v>0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  <c r="DW240" s="35"/>
      <c r="DX240" s="35"/>
      <c r="DY240" s="35"/>
      <c r="DZ240" s="35"/>
      <c r="EA240" s="35"/>
      <c r="EB240" s="35"/>
      <c r="EC240" s="35"/>
      <c r="ED240" s="35"/>
      <c r="EE240" s="35"/>
      <c r="EF240" s="35"/>
      <c r="EG240" s="35"/>
      <c r="EH240" s="35"/>
      <c r="EI240" s="35"/>
      <c r="EJ240" s="35"/>
      <c r="EK240" s="35"/>
      <c r="EL240" s="35"/>
      <c r="EM240" s="35"/>
      <c r="EN240" s="35"/>
      <c r="EO240" s="35"/>
      <c r="EP240" s="35"/>
      <c r="EQ240" s="35"/>
      <c r="ER240" s="35"/>
      <c r="ES240" s="35"/>
      <c r="ET240" s="35"/>
      <c r="EU240" s="35"/>
      <c r="EV240" s="35"/>
      <c r="EW240" s="35"/>
      <c r="EX240" s="35"/>
      <c r="EY240" s="35"/>
      <c r="EZ240" s="35"/>
      <c r="FA240" s="35"/>
      <c r="FB240" s="35"/>
      <c r="FC240" s="35"/>
      <c r="FD240" s="35"/>
      <c r="FE240" s="35"/>
      <c r="FF240" s="35"/>
      <c r="FG240" s="35"/>
      <c r="FH240" s="35"/>
      <c r="FI240" s="35"/>
      <c r="FJ240" s="35"/>
      <c r="FK240" s="35"/>
      <c r="FL240" s="35"/>
      <c r="FM240" s="35"/>
      <c r="FN240" s="35"/>
      <c r="FO240" s="35"/>
      <c r="FP240" s="35"/>
      <c r="FQ240" s="35"/>
      <c r="FR240" s="35"/>
      <c r="FS240" s="35"/>
      <c r="FT240" s="35"/>
      <c r="FU240" s="35"/>
      <c r="FV240" s="35"/>
      <c r="FW240" s="35"/>
      <c r="FX240" s="35"/>
      <c r="FY240" s="35"/>
      <c r="FZ240" s="35"/>
      <c r="GA240" s="35"/>
      <c r="GB240" s="35"/>
      <c r="GC240" s="35"/>
      <c r="GD240" s="35"/>
      <c r="GE240" s="35"/>
      <c r="GF240" s="35"/>
      <c r="GG240" s="35"/>
      <c r="GH240" s="35"/>
      <c r="GI240" s="35"/>
      <c r="GJ240" s="35"/>
      <c r="GK240" s="35"/>
      <c r="GL240" s="35"/>
      <c r="GM240" s="35"/>
      <c r="GN240" s="35"/>
      <c r="GO240" s="35"/>
      <c r="GP240" s="35"/>
      <c r="GQ240" s="35"/>
      <c r="GR240" s="35"/>
      <c r="GS240" s="35"/>
      <c r="GT240" s="35"/>
      <c r="GU240" s="35"/>
      <c r="GV240" s="35"/>
      <c r="GW240" s="35"/>
      <c r="GX240" s="35"/>
      <c r="GY240" s="35"/>
      <c r="GZ240" s="35"/>
      <c r="HA240" s="35"/>
      <c r="HB240" s="35"/>
      <c r="HC240" s="35"/>
      <c r="HD240" s="35"/>
      <c r="HE240" s="35"/>
      <c r="HF240" s="35"/>
      <c r="HG240" s="35"/>
      <c r="HH240" s="35"/>
      <c r="HI240" s="35"/>
      <c r="HJ240" s="35"/>
      <c r="HK240" s="35"/>
      <c r="HL240" s="35"/>
      <c r="HM240" s="35"/>
      <c r="HN240" s="35"/>
      <c r="HO240" s="35"/>
      <c r="HP240" s="35"/>
      <c r="HQ240" s="35"/>
      <c r="HR240" s="35"/>
      <c r="HS240" s="35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  <c r="JF240" s="35"/>
      <c r="JG240" s="35"/>
      <c r="JH240" s="35"/>
      <c r="JI240" s="35"/>
      <c r="JJ240" s="35"/>
      <c r="JK240" s="35"/>
      <c r="JL240" s="35"/>
      <c r="JM240" s="35"/>
      <c r="JN240" s="35"/>
      <c r="JO240" s="35"/>
      <c r="JP240" s="35"/>
      <c r="JQ240" s="35"/>
      <c r="JR240" s="35"/>
      <c r="JS240" s="35"/>
      <c r="JT240" s="35"/>
      <c r="JU240" s="35"/>
      <c r="JV240" s="35"/>
      <c r="JW240" s="35"/>
      <c r="JX240" s="35"/>
      <c r="JY240" s="35"/>
    </row>
    <row r="241">
      <c r="A241" s="28" t="s">
        <v>451</v>
      </c>
      <c r="B241" s="30"/>
      <c r="C241" s="78"/>
      <c r="D241" s="30"/>
      <c r="E241" s="31"/>
      <c r="F241" s="32"/>
      <c r="G241" s="32"/>
      <c r="H241" s="33"/>
      <c r="I241" s="72"/>
      <c r="J241" s="32"/>
      <c r="K241" s="33"/>
      <c r="L241" s="36" t="b">
        <v>0</v>
      </c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  <c r="DW241" s="35"/>
      <c r="DX241" s="35"/>
      <c r="DY241" s="35"/>
      <c r="DZ241" s="35"/>
      <c r="EA241" s="35"/>
      <c r="EB241" s="35"/>
      <c r="EC241" s="35"/>
      <c r="ED241" s="35"/>
      <c r="EE241" s="35"/>
      <c r="EF241" s="35"/>
      <c r="EG241" s="35"/>
      <c r="EH241" s="35"/>
      <c r="EI241" s="35"/>
      <c r="EJ241" s="35"/>
      <c r="EK241" s="35"/>
      <c r="EL241" s="35"/>
      <c r="EM241" s="35"/>
      <c r="EN241" s="35"/>
      <c r="EO241" s="35"/>
      <c r="EP241" s="35"/>
      <c r="EQ241" s="35"/>
      <c r="ER241" s="35"/>
      <c r="ES241" s="35"/>
      <c r="ET241" s="35"/>
      <c r="EU241" s="35"/>
      <c r="EV241" s="35"/>
      <c r="EW241" s="35"/>
      <c r="EX241" s="35"/>
      <c r="EY241" s="35"/>
      <c r="EZ241" s="35"/>
      <c r="FA241" s="35"/>
      <c r="FB241" s="35"/>
      <c r="FC241" s="35"/>
      <c r="FD241" s="35"/>
      <c r="FE241" s="35"/>
      <c r="FF241" s="35"/>
      <c r="FG241" s="35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  <c r="FS241" s="35"/>
      <c r="FT241" s="35"/>
      <c r="FU241" s="35"/>
      <c r="FV241" s="35"/>
      <c r="FW241" s="35"/>
      <c r="FX241" s="35"/>
      <c r="FY241" s="35"/>
      <c r="FZ241" s="35"/>
      <c r="GA241" s="35"/>
      <c r="GB241" s="35"/>
      <c r="GC241" s="35"/>
      <c r="GD241" s="35"/>
      <c r="GE241" s="35"/>
      <c r="GF241" s="35"/>
      <c r="GG241" s="35"/>
      <c r="GH241" s="35"/>
      <c r="GI241" s="35"/>
      <c r="GJ241" s="35"/>
      <c r="GK241" s="35"/>
      <c r="GL241" s="35"/>
      <c r="GM241" s="35"/>
      <c r="GN241" s="35"/>
      <c r="GO241" s="35"/>
      <c r="GP241" s="35"/>
      <c r="GQ241" s="35"/>
      <c r="GR241" s="35"/>
      <c r="GS241" s="35"/>
      <c r="GT241" s="35"/>
      <c r="GU241" s="35"/>
      <c r="GV241" s="35"/>
      <c r="GW241" s="35"/>
      <c r="GX241" s="35"/>
      <c r="GY241" s="35"/>
      <c r="GZ241" s="35"/>
      <c r="HA241" s="35"/>
      <c r="HB241" s="35"/>
      <c r="HC241" s="35"/>
      <c r="HD241" s="35"/>
      <c r="HE241" s="35"/>
      <c r="HF241" s="35"/>
      <c r="HG241" s="35"/>
      <c r="HH241" s="35"/>
      <c r="HI241" s="35"/>
      <c r="HJ241" s="35"/>
      <c r="HK241" s="35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  <c r="JF241" s="35"/>
      <c r="JG241" s="35"/>
      <c r="JH241" s="35"/>
      <c r="JI241" s="35"/>
      <c r="JJ241" s="35"/>
      <c r="JK241" s="35"/>
      <c r="JL241" s="35"/>
      <c r="JM241" s="35"/>
      <c r="JN241" s="35"/>
      <c r="JO241" s="35"/>
      <c r="JP241" s="35"/>
      <c r="JQ241" s="35"/>
      <c r="JR241" s="35"/>
      <c r="JS241" s="35"/>
      <c r="JT241" s="35"/>
      <c r="JU241" s="35"/>
      <c r="JV241" s="35"/>
      <c r="JW241" s="35"/>
      <c r="JX241" s="35"/>
      <c r="JY241" s="35"/>
    </row>
    <row r="242">
      <c r="A242" s="28" t="s">
        <v>452</v>
      </c>
      <c r="B242" s="30"/>
      <c r="C242" s="78"/>
      <c r="D242" s="30"/>
      <c r="E242" s="31"/>
      <c r="F242" s="32"/>
      <c r="G242" s="32"/>
      <c r="H242" s="33"/>
      <c r="I242" s="72"/>
      <c r="J242" s="32"/>
      <c r="K242" s="33"/>
      <c r="L242" s="36" t="b">
        <v>0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  <c r="DW242" s="35"/>
      <c r="DX242" s="35"/>
      <c r="DY242" s="35"/>
      <c r="DZ242" s="35"/>
      <c r="EA242" s="35"/>
      <c r="EB242" s="35"/>
      <c r="EC242" s="35"/>
      <c r="ED242" s="35"/>
      <c r="EE242" s="35"/>
      <c r="EF242" s="35"/>
      <c r="EG242" s="35"/>
      <c r="EH242" s="35"/>
      <c r="EI242" s="35"/>
      <c r="EJ242" s="35"/>
      <c r="EK242" s="35"/>
      <c r="EL242" s="35"/>
      <c r="EM242" s="35"/>
      <c r="EN242" s="35"/>
      <c r="EO242" s="35"/>
      <c r="EP242" s="35"/>
      <c r="EQ242" s="35"/>
      <c r="ER242" s="35"/>
      <c r="ES242" s="35"/>
      <c r="ET242" s="35"/>
      <c r="EU242" s="35"/>
      <c r="EV242" s="35"/>
      <c r="EW242" s="35"/>
      <c r="EX242" s="35"/>
      <c r="EY242" s="35"/>
      <c r="EZ242" s="35"/>
      <c r="FA242" s="35"/>
      <c r="FB242" s="35"/>
      <c r="FC242" s="35"/>
      <c r="FD242" s="35"/>
      <c r="FE242" s="35"/>
      <c r="FF242" s="35"/>
      <c r="FG242" s="35"/>
      <c r="FH242" s="35"/>
      <c r="FI242" s="35"/>
      <c r="FJ242" s="35"/>
      <c r="FK242" s="35"/>
      <c r="FL242" s="35"/>
      <c r="FM242" s="35"/>
      <c r="FN242" s="35"/>
      <c r="FO242" s="35"/>
      <c r="FP242" s="35"/>
      <c r="FQ242" s="35"/>
      <c r="FR242" s="35"/>
      <c r="FS242" s="35"/>
      <c r="FT242" s="35"/>
      <c r="FU242" s="35"/>
      <c r="FV242" s="35"/>
      <c r="FW242" s="35"/>
      <c r="FX242" s="35"/>
      <c r="FY242" s="35"/>
      <c r="FZ242" s="35"/>
      <c r="GA242" s="35"/>
      <c r="GB242" s="35"/>
      <c r="GC242" s="35"/>
      <c r="GD242" s="35"/>
      <c r="GE242" s="35"/>
      <c r="GF242" s="35"/>
      <c r="GG242" s="35"/>
      <c r="GH242" s="35"/>
      <c r="GI242" s="35"/>
      <c r="GJ242" s="35"/>
      <c r="GK242" s="35"/>
      <c r="GL242" s="35"/>
      <c r="GM242" s="35"/>
      <c r="GN242" s="35"/>
      <c r="GO242" s="35"/>
      <c r="GP242" s="35"/>
      <c r="GQ242" s="35"/>
      <c r="GR242" s="35"/>
      <c r="GS242" s="35"/>
      <c r="GT242" s="35"/>
      <c r="GU242" s="35"/>
      <c r="GV242" s="35"/>
      <c r="GW242" s="35"/>
      <c r="GX242" s="35"/>
      <c r="GY242" s="35"/>
      <c r="GZ242" s="35"/>
      <c r="HA242" s="35"/>
      <c r="HB242" s="35"/>
      <c r="HC242" s="35"/>
      <c r="HD242" s="35"/>
      <c r="HE242" s="35"/>
      <c r="HF242" s="35"/>
      <c r="HG242" s="35"/>
      <c r="HH242" s="35"/>
      <c r="HI242" s="35"/>
      <c r="HJ242" s="35"/>
      <c r="HK242" s="35"/>
      <c r="HL242" s="35"/>
      <c r="HM242" s="35"/>
      <c r="HN242" s="35"/>
      <c r="HO242" s="35"/>
      <c r="HP242" s="35"/>
      <c r="HQ242" s="35"/>
      <c r="HR242" s="35"/>
      <c r="HS242" s="35"/>
      <c r="HT242" s="35"/>
      <c r="HU242" s="35"/>
      <c r="HV242" s="35"/>
      <c r="HW242" s="35"/>
      <c r="HX242" s="35"/>
      <c r="HY242" s="35"/>
      <c r="HZ242" s="35"/>
      <c r="IA242" s="35"/>
      <c r="IB242" s="35"/>
      <c r="IC242" s="35"/>
      <c r="ID242" s="35"/>
      <c r="IE242" s="35"/>
      <c r="IF242" s="35"/>
      <c r="IG242" s="35"/>
      <c r="IH242" s="35"/>
      <c r="II242" s="35"/>
      <c r="IJ242" s="35"/>
      <c r="IK242" s="35"/>
      <c r="IL242" s="35"/>
      <c r="IM242" s="35"/>
      <c r="IN242" s="35"/>
      <c r="IO242" s="35"/>
      <c r="IP242" s="35"/>
      <c r="IQ242" s="35"/>
      <c r="IR242" s="35"/>
      <c r="IS242" s="35"/>
      <c r="IT242" s="35"/>
      <c r="IU242" s="35"/>
      <c r="IV242" s="35"/>
      <c r="IW242" s="35"/>
      <c r="IX242" s="35"/>
      <c r="IY242" s="35"/>
      <c r="IZ242" s="35"/>
      <c r="JA242" s="35"/>
      <c r="JB242" s="35"/>
      <c r="JC242" s="35"/>
      <c r="JD242" s="35"/>
      <c r="JE242" s="35"/>
      <c r="JF242" s="35"/>
      <c r="JG242" s="35"/>
      <c r="JH242" s="35"/>
      <c r="JI242" s="35"/>
      <c r="JJ242" s="35"/>
      <c r="JK242" s="35"/>
      <c r="JL242" s="35"/>
      <c r="JM242" s="35"/>
      <c r="JN242" s="35"/>
      <c r="JO242" s="35"/>
      <c r="JP242" s="35"/>
      <c r="JQ242" s="35"/>
      <c r="JR242" s="35"/>
      <c r="JS242" s="35"/>
      <c r="JT242" s="35"/>
      <c r="JU242" s="35"/>
      <c r="JV242" s="35"/>
      <c r="JW242" s="35"/>
      <c r="JX242" s="35"/>
      <c r="JY242" s="35"/>
    </row>
    <row r="243">
      <c r="A243" s="28" t="s">
        <v>453</v>
      </c>
      <c r="B243" s="30"/>
      <c r="C243" s="78"/>
      <c r="D243" s="30"/>
      <c r="E243" s="31"/>
      <c r="F243" s="32"/>
      <c r="G243" s="32"/>
      <c r="H243" s="33"/>
      <c r="I243" s="72"/>
      <c r="J243" s="32"/>
      <c r="K243" s="33"/>
      <c r="L243" s="36" t="b">
        <v>0</v>
      </c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  <c r="DW243" s="35"/>
      <c r="DX243" s="35"/>
      <c r="DY243" s="35"/>
      <c r="DZ243" s="35"/>
      <c r="EA243" s="35"/>
      <c r="EB243" s="35"/>
      <c r="EC243" s="35"/>
      <c r="ED243" s="35"/>
      <c r="EE243" s="35"/>
      <c r="EF243" s="35"/>
      <c r="EG243" s="35"/>
      <c r="EH243" s="35"/>
      <c r="EI243" s="35"/>
      <c r="EJ243" s="35"/>
      <c r="EK243" s="35"/>
      <c r="EL243" s="35"/>
      <c r="EM243" s="35"/>
      <c r="EN243" s="35"/>
      <c r="EO243" s="35"/>
      <c r="EP243" s="35"/>
      <c r="EQ243" s="35"/>
      <c r="ER243" s="35"/>
      <c r="ES243" s="35"/>
      <c r="ET243" s="35"/>
      <c r="EU243" s="35"/>
      <c r="EV243" s="35"/>
      <c r="EW243" s="35"/>
      <c r="EX243" s="35"/>
      <c r="EY243" s="35"/>
      <c r="EZ243" s="35"/>
      <c r="FA243" s="35"/>
      <c r="FB243" s="35"/>
      <c r="FC243" s="35"/>
      <c r="FD243" s="35"/>
      <c r="FE243" s="35"/>
      <c r="FF243" s="35"/>
      <c r="FG243" s="35"/>
      <c r="FH243" s="35"/>
      <c r="FI243" s="35"/>
      <c r="FJ243" s="35"/>
      <c r="FK243" s="35"/>
      <c r="FL243" s="35"/>
      <c r="FM243" s="35"/>
      <c r="FN243" s="35"/>
      <c r="FO243" s="35"/>
      <c r="FP243" s="35"/>
      <c r="FQ243" s="35"/>
      <c r="FR243" s="35"/>
      <c r="FS243" s="35"/>
      <c r="FT243" s="35"/>
      <c r="FU243" s="35"/>
      <c r="FV243" s="35"/>
      <c r="FW243" s="35"/>
      <c r="FX243" s="35"/>
      <c r="FY243" s="35"/>
      <c r="FZ243" s="35"/>
      <c r="GA243" s="35"/>
      <c r="GB243" s="35"/>
      <c r="GC243" s="35"/>
      <c r="GD243" s="35"/>
      <c r="GE243" s="35"/>
      <c r="GF243" s="35"/>
      <c r="GG243" s="35"/>
      <c r="GH243" s="35"/>
      <c r="GI243" s="35"/>
      <c r="GJ243" s="35"/>
      <c r="GK243" s="35"/>
      <c r="GL243" s="35"/>
      <c r="GM243" s="35"/>
      <c r="GN243" s="35"/>
      <c r="GO243" s="35"/>
      <c r="GP243" s="35"/>
      <c r="GQ243" s="35"/>
      <c r="GR243" s="35"/>
      <c r="GS243" s="35"/>
      <c r="GT243" s="35"/>
      <c r="GU243" s="35"/>
      <c r="GV243" s="35"/>
      <c r="GW243" s="35"/>
      <c r="GX243" s="35"/>
      <c r="GY243" s="35"/>
      <c r="GZ243" s="35"/>
      <c r="HA243" s="35"/>
      <c r="HB243" s="35"/>
      <c r="HC243" s="35"/>
      <c r="HD243" s="35"/>
      <c r="HE243" s="35"/>
      <c r="HF243" s="35"/>
      <c r="HG243" s="35"/>
      <c r="HH243" s="35"/>
      <c r="HI243" s="35"/>
      <c r="HJ243" s="35"/>
      <c r="HK243" s="35"/>
      <c r="HL243" s="35"/>
      <c r="HM243" s="35"/>
      <c r="HN243" s="35"/>
      <c r="HO243" s="35"/>
      <c r="HP243" s="35"/>
      <c r="HQ243" s="35"/>
      <c r="HR243" s="35"/>
      <c r="HS243" s="35"/>
      <c r="HT243" s="35"/>
      <c r="HU243" s="35"/>
      <c r="HV243" s="35"/>
      <c r="HW243" s="35"/>
      <c r="HX243" s="35"/>
      <c r="HY243" s="35"/>
      <c r="HZ243" s="35"/>
      <c r="IA243" s="35"/>
      <c r="IB243" s="35"/>
      <c r="IC243" s="35"/>
      <c r="ID243" s="35"/>
      <c r="IE243" s="35"/>
      <c r="IF243" s="35"/>
      <c r="IG243" s="35"/>
      <c r="IH243" s="35"/>
      <c r="II243" s="35"/>
      <c r="IJ243" s="35"/>
      <c r="IK243" s="35"/>
      <c r="IL243" s="35"/>
      <c r="IM243" s="35"/>
      <c r="IN243" s="35"/>
      <c r="IO243" s="35"/>
      <c r="IP243" s="35"/>
      <c r="IQ243" s="35"/>
      <c r="IR243" s="35"/>
      <c r="IS243" s="35"/>
      <c r="IT243" s="35"/>
      <c r="IU243" s="35"/>
      <c r="IV243" s="35"/>
      <c r="IW243" s="35"/>
      <c r="IX243" s="35"/>
      <c r="IY243" s="35"/>
      <c r="IZ243" s="35"/>
      <c r="JA243" s="35"/>
      <c r="JB243" s="35"/>
      <c r="JC243" s="35"/>
      <c r="JD243" s="35"/>
      <c r="JE243" s="35"/>
      <c r="JF243" s="35"/>
      <c r="JG243" s="35"/>
      <c r="JH243" s="35"/>
      <c r="JI243" s="35"/>
      <c r="JJ243" s="35"/>
      <c r="JK243" s="35"/>
      <c r="JL243" s="35"/>
      <c r="JM243" s="35"/>
      <c r="JN243" s="35"/>
      <c r="JO243" s="35"/>
      <c r="JP243" s="35"/>
      <c r="JQ243" s="35"/>
      <c r="JR243" s="35"/>
      <c r="JS243" s="35"/>
      <c r="JT243" s="35"/>
      <c r="JU243" s="35"/>
      <c r="JV243" s="35"/>
      <c r="JW243" s="35"/>
      <c r="JX243" s="35"/>
      <c r="JY243" s="35"/>
    </row>
    <row r="244">
      <c r="A244" s="28" t="s">
        <v>454</v>
      </c>
      <c r="B244" s="30"/>
      <c r="C244" s="78"/>
      <c r="D244" s="30"/>
      <c r="E244" s="31"/>
      <c r="F244" s="32"/>
      <c r="G244" s="32"/>
      <c r="H244" s="33"/>
      <c r="I244" s="72"/>
      <c r="J244" s="32"/>
      <c r="K244" s="33"/>
      <c r="L244" s="36" t="b">
        <v>0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  <c r="DW244" s="35"/>
      <c r="DX244" s="35"/>
      <c r="DY244" s="35"/>
      <c r="DZ244" s="35"/>
      <c r="EA244" s="35"/>
      <c r="EB244" s="35"/>
      <c r="EC244" s="35"/>
      <c r="ED244" s="35"/>
      <c r="EE244" s="35"/>
      <c r="EF244" s="35"/>
      <c r="EG244" s="35"/>
      <c r="EH244" s="35"/>
      <c r="EI244" s="35"/>
      <c r="EJ244" s="35"/>
      <c r="EK244" s="35"/>
      <c r="EL244" s="35"/>
      <c r="EM244" s="35"/>
      <c r="EN244" s="35"/>
      <c r="EO244" s="35"/>
      <c r="EP244" s="35"/>
      <c r="EQ244" s="35"/>
      <c r="ER244" s="35"/>
      <c r="ES244" s="35"/>
      <c r="ET244" s="35"/>
      <c r="EU244" s="35"/>
      <c r="EV244" s="35"/>
      <c r="EW244" s="35"/>
      <c r="EX244" s="35"/>
      <c r="EY244" s="35"/>
      <c r="EZ244" s="35"/>
      <c r="FA244" s="35"/>
      <c r="FB244" s="35"/>
      <c r="FC244" s="35"/>
      <c r="FD244" s="35"/>
      <c r="FE244" s="35"/>
      <c r="FF244" s="35"/>
      <c r="FG244" s="35"/>
      <c r="FH244" s="35"/>
      <c r="FI244" s="35"/>
      <c r="FJ244" s="35"/>
      <c r="FK244" s="35"/>
      <c r="FL244" s="35"/>
      <c r="FM244" s="35"/>
      <c r="FN244" s="35"/>
      <c r="FO244" s="35"/>
      <c r="FP244" s="35"/>
      <c r="FQ244" s="35"/>
      <c r="FR244" s="35"/>
      <c r="FS244" s="35"/>
      <c r="FT244" s="35"/>
      <c r="FU244" s="35"/>
      <c r="FV244" s="35"/>
      <c r="FW244" s="35"/>
      <c r="FX244" s="35"/>
      <c r="FY244" s="35"/>
      <c r="FZ244" s="35"/>
      <c r="GA244" s="35"/>
      <c r="GB244" s="35"/>
      <c r="GC244" s="35"/>
      <c r="GD244" s="35"/>
      <c r="GE244" s="35"/>
      <c r="GF244" s="35"/>
      <c r="GG244" s="35"/>
      <c r="GH244" s="35"/>
      <c r="GI244" s="35"/>
      <c r="GJ244" s="35"/>
      <c r="GK244" s="35"/>
      <c r="GL244" s="35"/>
      <c r="GM244" s="35"/>
      <c r="GN244" s="35"/>
      <c r="GO244" s="35"/>
      <c r="GP244" s="35"/>
      <c r="GQ244" s="35"/>
      <c r="GR244" s="35"/>
      <c r="GS244" s="35"/>
      <c r="GT244" s="35"/>
      <c r="GU244" s="35"/>
      <c r="GV244" s="35"/>
      <c r="GW244" s="35"/>
      <c r="GX244" s="35"/>
      <c r="GY244" s="35"/>
      <c r="GZ244" s="35"/>
      <c r="HA244" s="35"/>
      <c r="HB244" s="35"/>
      <c r="HC244" s="35"/>
      <c r="HD244" s="35"/>
      <c r="HE244" s="35"/>
      <c r="HF244" s="35"/>
      <c r="HG244" s="35"/>
      <c r="HH244" s="35"/>
      <c r="HI244" s="35"/>
      <c r="HJ244" s="35"/>
      <c r="HK244" s="35"/>
      <c r="HL244" s="35"/>
      <c r="HM244" s="35"/>
      <c r="HN244" s="35"/>
      <c r="HO244" s="35"/>
      <c r="HP244" s="35"/>
      <c r="HQ244" s="35"/>
      <c r="HR244" s="35"/>
      <c r="HS244" s="35"/>
      <c r="HT244" s="35"/>
      <c r="HU244" s="35"/>
      <c r="HV244" s="35"/>
      <c r="HW244" s="35"/>
      <c r="HX244" s="35"/>
      <c r="HY244" s="35"/>
      <c r="HZ244" s="35"/>
      <c r="IA244" s="35"/>
      <c r="IB244" s="35"/>
      <c r="IC244" s="35"/>
      <c r="ID244" s="35"/>
      <c r="IE244" s="35"/>
      <c r="IF244" s="35"/>
      <c r="IG244" s="35"/>
      <c r="IH244" s="35"/>
      <c r="II244" s="35"/>
      <c r="IJ244" s="35"/>
      <c r="IK244" s="35"/>
      <c r="IL244" s="35"/>
      <c r="IM244" s="35"/>
      <c r="IN244" s="35"/>
      <c r="IO244" s="35"/>
      <c r="IP244" s="35"/>
      <c r="IQ244" s="35"/>
      <c r="IR244" s="35"/>
      <c r="IS244" s="35"/>
      <c r="IT244" s="35"/>
      <c r="IU244" s="35"/>
      <c r="IV244" s="35"/>
      <c r="IW244" s="35"/>
      <c r="IX244" s="35"/>
      <c r="IY244" s="35"/>
      <c r="IZ244" s="35"/>
      <c r="JA244" s="35"/>
      <c r="JB244" s="35"/>
      <c r="JC244" s="35"/>
      <c r="JD244" s="35"/>
      <c r="JE244" s="35"/>
      <c r="JF244" s="35"/>
      <c r="JG244" s="35"/>
      <c r="JH244" s="35"/>
      <c r="JI244" s="35"/>
      <c r="JJ244" s="35"/>
      <c r="JK244" s="35"/>
      <c r="JL244" s="35"/>
      <c r="JM244" s="35"/>
      <c r="JN244" s="35"/>
      <c r="JO244" s="35"/>
      <c r="JP244" s="35"/>
      <c r="JQ244" s="35"/>
      <c r="JR244" s="35"/>
      <c r="JS244" s="35"/>
      <c r="JT244" s="35"/>
      <c r="JU244" s="35"/>
      <c r="JV244" s="35"/>
      <c r="JW244" s="35"/>
      <c r="JX244" s="35"/>
      <c r="JY244" s="35"/>
    </row>
    <row r="245">
      <c r="A245" s="28" t="s">
        <v>455</v>
      </c>
      <c r="B245" s="30"/>
      <c r="C245" s="78"/>
      <c r="D245" s="30"/>
      <c r="E245" s="31"/>
      <c r="F245" s="32"/>
      <c r="G245" s="32"/>
      <c r="H245" s="33"/>
      <c r="I245" s="72"/>
      <c r="J245" s="32"/>
      <c r="K245" s="33"/>
      <c r="L245" s="36" t="b">
        <v>0</v>
      </c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  <c r="ER245" s="35"/>
      <c r="ES245" s="35"/>
      <c r="ET245" s="35"/>
      <c r="EU245" s="35"/>
      <c r="EV245" s="35"/>
      <c r="EW245" s="35"/>
      <c r="EX245" s="35"/>
      <c r="EY245" s="35"/>
      <c r="EZ245" s="35"/>
      <c r="FA245" s="35"/>
      <c r="FB245" s="35"/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  <c r="FS245" s="35"/>
      <c r="FT245" s="35"/>
      <c r="FU245" s="35"/>
      <c r="FV245" s="35"/>
      <c r="FW245" s="35"/>
      <c r="FX245" s="35"/>
      <c r="FY245" s="35"/>
      <c r="FZ245" s="35"/>
      <c r="GA245" s="35"/>
      <c r="GB245" s="35"/>
      <c r="GC245" s="35"/>
      <c r="GD245" s="35"/>
      <c r="GE245" s="35"/>
      <c r="GF245" s="35"/>
      <c r="GG245" s="35"/>
      <c r="GH245" s="35"/>
      <c r="GI245" s="35"/>
      <c r="GJ245" s="35"/>
      <c r="GK245" s="35"/>
      <c r="GL245" s="35"/>
      <c r="GM245" s="35"/>
      <c r="GN245" s="35"/>
      <c r="GO245" s="35"/>
      <c r="GP245" s="35"/>
      <c r="GQ245" s="35"/>
      <c r="GR245" s="35"/>
      <c r="GS245" s="35"/>
      <c r="GT245" s="35"/>
      <c r="GU245" s="35"/>
      <c r="GV245" s="35"/>
      <c r="GW245" s="35"/>
      <c r="GX245" s="35"/>
      <c r="GY245" s="35"/>
      <c r="GZ245" s="35"/>
      <c r="HA245" s="35"/>
      <c r="HB245" s="35"/>
      <c r="HC245" s="35"/>
      <c r="HD245" s="35"/>
      <c r="HE245" s="35"/>
      <c r="HF245" s="35"/>
      <c r="HG245" s="35"/>
      <c r="HH245" s="35"/>
      <c r="HI245" s="35"/>
      <c r="HJ245" s="35"/>
      <c r="HK245" s="35"/>
      <c r="HL245" s="35"/>
      <c r="HM245" s="35"/>
      <c r="HN245" s="35"/>
      <c r="HO245" s="35"/>
      <c r="HP245" s="35"/>
      <c r="HQ245" s="35"/>
      <c r="HR245" s="35"/>
      <c r="HS245" s="35"/>
      <c r="HT245" s="35"/>
      <c r="HU245" s="35"/>
      <c r="HV245" s="35"/>
      <c r="HW245" s="35"/>
      <c r="HX245" s="35"/>
      <c r="HY245" s="35"/>
      <c r="HZ245" s="35"/>
      <c r="IA245" s="35"/>
      <c r="IB245" s="35"/>
      <c r="IC245" s="35"/>
      <c r="ID245" s="35"/>
      <c r="IE245" s="35"/>
      <c r="IF245" s="35"/>
      <c r="IG245" s="35"/>
      <c r="IH245" s="35"/>
      <c r="II245" s="35"/>
      <c r="IJ245" s="35"/>
      <c r="IK245" s="35"/>
      <c r="IL245" s="35"/>
      <c r="IM245" s="35"/>
      <c r="IN245" s="35"/>
      <c r="IO245" s="35"/>
      <c r="IP245" s="35"/>
      <c r="IQ245" s="35"/>
      <c r="IR245" s="35"/>
      <c r="IS245" s="35"/>
      <c r="IT245" s="35"/>
      <c r="IU245" s="35"/>
      <c r="IV245" s="35"/>
      <c r="IW245" s="35"/>
      <c r="IX245" s="35"/>
      <c r="IY245" s="35"/>
      <c r="IZ245" s="35"/>
      <c r="JA245" s="35"/>
      <c r="JB245" s="35"/>
      <c r="JC245" s="35"/>
      <c r="JD245" s="35"/>
      <c r="JE245" s="35"/>
      <c r="JF245" s="35"/>
      <c r="JG245" s="35"/>
      <c r="JH245" s="35"/>
      <c r="JI245" s="35"/>
      <c r="JJ245" s="35"/>
      <c r="JK245" s="35"/>
      <c r="JL245" s="35"/>
      <c r="JM245" s="35"/>
      <c r="JN245" s="35"/>
      <c r="JO245" s="35"/>
      <c r="JP245" s="35"/>
      <c r="JQ245" s="35"/>
      <c r="JR245" s="35"/>
      <c r="JS245" s="35"/>
      <c r="JT245" s="35"/>
      <c r="JU245" s="35"/>
      <c r="JV245" s="35"/>
      <c r="JW245" s="35"/>
      <c r="JX245" s="35"/>
      <c r="JY245" s="35"/>
    </row>
    <row r="246">
      <c r="A246" s="28" t="s">
        <v>456</v>
      </c>
      <c r="B246" s="30"/>
      <c r="C246" s="78"/>
      <c r="D246" s="30"/>
      <c r="E246" s="31"/>
      <c r="F246" s="32"/>
      <c r="G246" s="32"/>
      <c r="H246" s="33"/>
      <c r="I246" s="72"/>
      <c r="J246" s="32"/>
      <c r="K246" s="33"/>
      <c r="L246" s="36" t="b">
        <v>0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  <c r="DW246" s="35"/>
      <c r="DX246" s="35"/>
      <c r="DY246" s="35"/>
      <c r="DZ246" s="35"/>
      <c r="EA246" s="35"/>
      <c r="EB246" s="35"/>
      <c r="EC246" s="35"/>
      <c r="ED246" s="35"/>
      <c r="EE246" s="35"/>
      <c r="EF246" s="35"/>
      <c r="EG246" s="35"/>
      <c r="EH246" s="35"/>
      <c r="EI246" s="35"/>
      <c r="EJ246" s="35"/>
      <c r="EK246" s="35"/>
      <c r="EL246" s="35"/>
      <c r="EM246" s="35"/>
      <c r="EN246" s="35"/>
      <c r="EO246" s="35"/>
      <c r="EP246" s="35"/>
      <c r="EQ246" s="35"/>
      <c r="ER246" s="35"/>
      <c r="ES246" s="35"/>
      <c r="ET246" s="35"/>
      <c r="EU246" s="35"/>
      <c r="EV246" s="35"/>
      <c r="EW246" s="35"/>
      <c r="EX246" s="35"/>
      <c r="EY246" s="35"/>
      <c r="EZ246" s="35"/>
      <c r="FA246" s="35"/>
      <c r="FB246" s="35"/>
      <c r="FC246" s="35"/>
      <c r="FD246" s="35"/>
      <c r="FE246" s="35"/>
      <c r="FF246" s="35"/>
      <c r="FG246" s="35"/>
      <c r="FH246" s="35"/>
      <c r="FI246" s="35"/>
      <c r="FJ246" s="35"/>
      <c r="FK246" s="35"/>
      <c r="FL246" s="35"/>
      <c r="FM246" s="35"/>
      <c r="FN246" s="35"/>
      <c r="FO246" s="35"/>
      <c r="FP246" s="35"/>
      <c r="FQ246" s="35"/>
      <c r="FR246" s="35"/>
      <c r="FS246" s="35"/>
      <c r="FT246" s="35"/>
      <c r="FU246" s="35"/>
      <c r="FV246" s="35"/>
      <c r="FW246" s="35"/>
      <c r="FX246" s="35"/>
      <c r="FY246" s="35"/>
      <c r="FZ246" s="35"/>
      <c r="GA246" s="35"/>
      <c r="GB246" s="35"/>
      <c r="GC246" s="35"/>
      <c r="GD246" s="35"/>
      <c r="GE246" s="35"/>
      <c r="GF246" s="35"/>
      <c r="GG246" s="35"/>
      <c r="GH246" s="35"/>
      <c r="GI246" s="35"/>
      <c r="GJ246" s="35"/>
      <c r="GK246" s="35"/>
      <c r="GL246" s="35"/>
      <c r="GM246" s="35"/>
      <c r="GN246" s="35"/>
      <c r="GO246" s="35"/>
      <c r="GP246" s="35"/>
      <c r="GQ246" s="35"/>
      <c r="GR246" s="35"/>
      <c r="GS246" s="35"/>
      <c r="GT246" s="35"/>
      <c r="GU246" s="35"/>
      <c r="GV246" s="35"/>
      <c r="GW246" s="35"/>
      <c r="GX246" s="35"/>
      <c r="GY246" s="35"/>
      <c r="GZ246" s="35"/>
      <c r="HA246" s="35"/>
      <c r="HB246" s="35"/>
      <c r="HC246" s="35"/>
      <c r="HD246" s="35"/>
      <c r="HE246" s="35"/>
      <c r="HF246" s="35"/>
      <c r="HG246" s="35"/>
      <c r="HH246" s="35"/>
      <c r="HI246" s="35"/>
      <c r="HJ246" s="35"/>
      <c r="HK246" s="35"/>
      <c r="HL246" s="35"/>
      <c r="HM246" s="35"/>
      <c r="HN246" s="35"/>
      <c r="HO246" s="35"/>
      <c r="HP246" s="35"/>
      <c r="HQ246" s="35"/>
      <c r="HR246" s="35"/>
      <c r="HS246" s="35"/>
      <c r="HT246" s="35"/>
      <c r="HU246" s="35"/>
      <c r="HV246" s="35"/>
      <c r="HW246" s="35"/>
      <c r="HX246" s="35"/>
      <c r="HY246" s="35"/>
      <c r="HZ246" s="35"/>
      <c r="IA246" s="35"/>
      <c r="IB246" s="35"/>
      <c r="IC246" s="35"/>
      <c r="ID246" s="35"/>
      <c r="IE246" s="35"/>
      <c r="IF246" s="35"/>
      <c r="IG246" s="35"/>
      <c r="IH246" s="35"/>
      <c r="II246" s="35"/>
      <c r="IJ246" s="35"/>
      <c r="IK246" s="35"/>
      <c r="IL246" s="35"/>
      <c r="IM246" s="35"/>
      <c r="IN246" s="35"/>
      <c r="IO246" s="35"/>
      <c r="IP246" s="35"/>
      <c r="IQ246" s="35"/>
      <c r="IR246" s="35"/>
      <c r="IS246" s="35"/>
      <c r="IT246" s="35"/>
      <c r="IU246" s="35"/>
      <c r="IV246" s="35"/>
      <c r="IW246" s="35"/>
      <c r="IX246" s="35"/>
      <c r="IY246" s="35"/>
      <c r="IZ246" s="35"/>
      <c r="JA246" s="35"/>
      <c r="JB246" s="35"/>
      <c r="JC246" s="35"/>
      <c r="JD246" s="35"/>
      <c r="JE246" s="35"/>
      <c r="JF246" s="35"/>
      <c r="JG246" s="35"/>
      <c r="JH246" s="35"/>
      <c r="JI246" s="35"/>
      <c r="JJ246" s="35"/>
      <c r="JK246" s="35"/>
      <c r="JL246" s="35"/>
      <c r="JM246" s="35"/>
      <c r="JN246" s="35"/>
      <c r="JO246" s="35"/>
      <c r="JP246" s="35"/>
      <c r="JQ246" s="35"/>
      <c r="JR246" s="35"/>
      <c r="JS246" s="35"/>
      <c r="JT246" s="35"/>
      <c r="JU246" s="35"/>
      <c r="JV246" s="35"/>
      <c r="JW246" s="35"/>
      <c r="JX246" s="35"/>
      <c r="JY246" s="35"/>
    </row>
    <row r="247">
      <c r="A247" s="28" t="s">
        <v>457</v>
      </c>
      <c r="B247" s="30"/>
      <c r="C247" s="78"/>
      <c r="D247" s="30"/>
      <c r="E247" s="31"/>
      <c r="F247" s="32"/>
      <c r="G247" s="32"/>
      <c r="H247" s="33"/>
      <c r="I247" s="72"/>
      <c r="J247" s="32"/>
      <c r="K247" s="33"/>
      <c r="L247" s="36" t="b">
        <v>0</v>
      </c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  <c r="DW247" s="35"/>
      <c r="DX247" s="35"/>
      <c r="DY247" s="35"/>
      <c r="DZ247" s="35"/>
      <c r="EA247" s="35"/>
      <c r="EB247" s="35"/>
      <c r="EC247" s="35"/>
      <c r="ED247" s="35"/>
      <c r="EE247" s="35"/>
      <c r="EF247" s="35"/>
      <c r="EG247" s="35"/>
      <c r="EH247" s="35"/>
      <c r="EI247" s="35"/>
      <c r="EJ247" s="35"/>
      <c r="EK247" s="35"/>
      <c r="EL247" s="35"/>
      <c r="EM247" s="35"/>
      <c r="EN247" s="35"/>
      <c r="EO247" s="35"/>
      <c r="EP247" s="35"/>
      <c r="EQ247" s="35"/>
      <c r="ER247" s="35"/>
      <c r="ES247" s="35"/>
      <c r="ET247" s="35"/>
      <c r="EU247" s="35"/>
      <c r="EV247" s="35"/>
      <c r="EW247" s="35"/>
      <c r="EX247" s="35"/>
      <c r="EY247" s="35"/>
      <c r="EZ247" s="35"/>
      <c r="FA247" s="35"/>
      <c r="FB247" s="35"/>
      <c r="FC247" s="35"/>
      <c r="FD247" s="35"/>
      <c r="FE247" s="35"/>
      <c r="FF247" s="35"/>
      <c r="FG247" s="35"/>
      <c r="FH247" s="35"/>
      <c r="FI247" s="35"/>
      <c r="FJ247" s="35"/>
      <c r="FK247" s="35"/>
      <c r="FL247" s="35"/>
      <c r="FM247" s="35"/>
      <c r="FN247" s="35"/>
      <c r="FO247" s="35"/>
      <c r="FP247" s="35"/>
      <c r="FQ247" s="35"/>
      <c r="FR247" s="35"/>
      <c r="FS247" s="35"/>
      <c r="FT247" s="35"/>
      <c r="FU247" s="35"/>
      <c r="FV247" s="35"/>
      <c r="FW247" s="35"/>
      <c r="FX247" s="35"/>
      <c r="FY247" s="35"/>
      <c r="FZ247" s="35"/>
      <c r="GA247" s="35"/>
      <c r="GB247" s="35"/>
      <c r="GC247" s="35"/>
      <c r="GD247" s="35"/>
      <c r="GE247" s="35"/>
      <c r="GF247" s="35"/>
      <c r="GG247" s="35"/>
      <c r="GH247" s="35"/>
      <c r="GI247" s="35"/>
      <c r="GJ247" s="35"/>
      <c r="GK247" s="35"/>
      <c r="GL247" s="35"/>
      <c r="GM247" s="35"/>
      <c r="GN247" s="35"/>
      <c r="GO247" s="35"/>
      <c r="GP247" s="35"/>
      <c r="GQ247" s="35"/>
      <c r="GR247" s="35"/>
      <c r="GS247" s="35"/>
      <c r="GT247" s="35"/>
      <c r="GU247" s="35"/>
      <c r="GV247" s="35"/>
      <c r="GW247" s="35"/>
      <c r="GX247" s="35"/>
      <c r="GY247" s="35"/>
      <c r="GZ247" s="35"/>
      <c r="HA247" s="35"/>
      <c r="HB247" s="35"/>
      <c r="HC247" s="35"/>
      <c r="HD247" s="35"/>
      <c r="HE247" s="35"/>
      <c r="HF247" s="35"/>
      <c r="HG247" s="35"/>
      <c r="HH247" s="35"/>
      <c r="HI247" s="35"/>
      <c r="HJ247" s="35"/>
      <c r="HK247" s="35"/>
      <c r="HL247" s="35"/>
      <c r="HM247" s="35"/>
      <c r="HN247" s="35"/>
      <c r="HO247" s="35"/>
      <c r="HP247" s="35"/>
      <c r="HQ247" s="35"/>
      <c r="HR247" s="35"/>
      <c r="HS247" s="35"/>
      <c r="HT247" s="35"/>
      <c r="HU247" s="35"/>
      <c r="HV247" s="35"/>
      <c r="HW247" s="35"/>
      <c r="HX247" s="35"/>
      <c r="HY247" s="35"/>
      <c r="HZ247" s="35"/>
      <c r="IA247" s="35"/>
      <c r="IB247" s="35"/>
      <c r="IC247" s="35"/>
      <c r="ID247" s="35"/>
      <c r="IE247" s="35"/>
      <c r="IF247" s="35"/>
      <c r="IG247" s="35"/>
      <c r="IH247" s="35"/>
      <c r="II247" s="35"/>
      <c r="IJ247" s="35"/>
      <c r="IK247" s="35"/>
      <c r="IL247" s="35"/>
      <c r="IM247" s="35"/>
      <c r="IN247" s="35"/>
      <c r="IO247" s="35"/>
      <c r="IP247" s="35"/>
      <c r="IQ247" s="35"/>
      <c r="IR247" s="35"/>
      <c r="IS247" s="35"/>
      <c r="IT247" s="35"/>
      <c r="IU247" s="35"/>
      <c r="IV247" s="35"/>
      <c r="IW247" s="35"/>
      <c r="IX247" s="35"/>
      <c r="IY247" s="35"/>
      <c r="IZ247" s="35"/>
      <c r="JA247" s="35"/>
      <c r="JB247" s="35"/>
      <c r="JC247" s="35"/>
      <c r="JD247" s="35"/>
      <c r="JE247" s="35"/>
      <c r="JF247" s="35"/>
      <c r="JG247" s="35"/>
      <c r="JH247" s="35"/>
      <c r="JI247" s="35"/>
      <c r="JJ247" s="35"/>
      <c r="JK247" s="35"/>
      <c r="JL247" s="35"/>
      <c r="JM247" s="35"/>
      <c r="JN247" s="35"/>
      <c r="JO247" s="35"/>
      <c r="JP247" s="35"/>
      <c r="JQ247" s="35"/>
      <c r="JR247" s="35"/>
      <c r="JS247" s="35"/>
      <c r="JT247" s="35"/>
      <c r="JU247" s="35"/>
      <c r="JV247" s="35"/>
      <c r="JW247" s="35"/>
      <c r="JX247" s="35"/>
      <c r="JY247" s="35"/>
    </row>
    <row r="248">
      <c r="A248" s="28" t="s">
        <v>458</v>
      </c>
      <c r="B248" s="30"/>
      <c r="C248" s="78"/>
      <c r="D248" s="30"/>
      <c r="E248" s="31"/>
      <c r="F248" s="32"/>
      <c r="G248" s="32"/>
      <c r="H248" s="33"/>
      <c r="I248" s="72"/>
      <c r="J248" s="32"/>
      <c r="K248" s="33"/>
      <c r="L248" s="36" t="b">
        <v>0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  <c r="DW248" s="35"/>
      <c r="DX248" s="35"/>
      <c r="DY248" s="35"/>
      <c r="DZ248" s="35"/>
      <c r="EA248" s="35"/>
      <c r="EB248" s="35"/>
      <c r="EC248" s="35"/>
      <c r="ED248" s="35"/>
      <c r="EE248" s="35"/>
      <c r="EF248" s="35"/>
      <c r="EG248" s="35"/>
      <c r="EH248" s="35"/>
      <c r="EI248" s="35"/>
      <c r="EJ248" s="35"/>
      <c r="EK248" s="35"/>
      <c r="EL248" s="35"/>
      <c r="EM248" s="35"/>
      <c r="EN248" s="35"/>
      <c r="EO248" s="35"/>
      <c r="EP248" s="35"/>
      <c r="EQ248" s="35"/>
      <c r="ER248" s="35"/>
      <c r="ES248" s="35"/>
      <c r="ET248" s="35"/>
      <c r="EU248" s="35"/>
      <c r="EV248" s="35"/>
      <c r="EW248" s="35"/>
      <c r="EX248" s="35"/>
      <c r="EY248" s="35"/>
      <c r="EZ248" s="35"/>
      <c r="FA248" s="35"/>
      <c r="FB248" s="35"/>
      <c r="FC248" s="35"/>
      <c r="FD248" s="35"/>
      <c r="FE248" s="35"/>
      <c r="FF248" s="35"/>
      <c r="FG248" s="35"/>
      <c r="FH248" s="35"/>
      <c r="FI248" s="35"/>
      <c r="FJ248" s="35"/>
      <c r="FK248" s="35"/>
      <c r="FL248" s="35"/>
      <c r="FM248" s="35"/>
      <c r="FN248" s="35"/>
      <c r="FO248" s="35"/>
      <c r="FP248" s="35"/>
      <c r="FQ248" s="35"/>
      <c r="FR248" s="35"/>
      <c r="FS248" s="35"/>
      <c r="FT248" s="35"/>
      <c r="FU248" s="35"/>
      <c r="FV248" s="35"/>
      <c r="FW248" s="35"/>
      <c r="FX248" s="35"/>
      <c r="FY248" s="35"/>
      <c r="FZ248" s="35"/>
      <c r="GA248" s="35"/>
      <c r="GB248" s="35"/>
      <c r="GC248" s="35"/>
      <c r="GD248" s="35"/>
      <c r="GE248" s="35"/>
      <c r="GF248" s="35"/>
      <c r="GG248" s="35"/>
      <c r="GH248" s="35"/>
      <c r="GI248" s="35"/>
      <c r="GJ248" s="35"/>
      <c r="GK248" s="35"/>
      <c r="GL248" s="35"/>
      <c r="GM248" s="35"/>
      <c r="GN248" s="35"/>
      <c r="GO248" s="35"/>
      <c r="GP248" s="35"/>
      <c r="GQ248" s="35"/>
      <c r="GR248" s="35"/>
      <c r="GS248" s="35"/>
      <c r="GT248" s="35"/>
      <c r="GU248" s="35"/>
      <c r="GV248" s="35"/>
      <c r="GW248" s="35"/>
      <c r="GX248" s="35"/>
      <c r="GY248" s="35"/>
      <c r="GZ248" s="35"/>
      <c r="HA248" s="35"/>
      <c r="HB248" s="35"/>
      <c r="HC248" s="35"/>
      <c r="HD248" s="35"/>
      <c r="HE248" s="35"/>
      <c r="HF248" s="35"/>
      <c r="HG248" s="35"/>
      <c r="HH248" s="35"/>
      <c r="HI248" s="35"/>
      <c r="HJ248" s="35"/>
      <c r="HK248" s="35"/>
      <c r="HL248" s="35"/>
      <c r="HM248" s="35"/>
      <c r="HN248" s="35"/>
      <c r="HO248" s="35"/>
      <c r="HP248" s="35"/>
      <c r="HQ248" s="35"/>
      <c r="HR248" s="35"/>
      <c r="HS248" s="35"/>
      <c r="HT248" s="35"/>
      <c r="HU248" s="35"/>
      <c r="HV248" s="35"/>
      <c r="HW248" s="35"/>
      <c r="HX248" s="35"/>
      <c r="HY248" s="35"/>
      <c r="HZ248" s="35"/>
      <c r="IA248" s="35"/>
      <c r="IB248" s="35"/>
      <c r="IC248" s="35"/>
      <c r="ID248" s="35"/>
      <c r="IE248" s="35"/>
      <c r="IF248" s="35"/>
      <c r="IG248" s="35"/>
      <c r="IH248" s="35"/>
      <c r="II248" s="35"/>
      <c r="IJ248" s="35"/>
      <c r="IK248" s="35"/>
      <c r="IL248" s="35"/>
      <c r="IM248" s="35"/>
      <c r="IN248" s="35"/>
      <c r="IO248" s="35"/>
      <c r="IP248" s="35"/>
      <c r="IQ248" s="35"/>
      <c r="IR248" s="35"/>
      <c r="IS248" s="35"/>
      <c r="IT248" s="35"/>
      <c r="IU248" s="35"/>
      <c r="IV248" s="35"/>
      <c r="IW248" s="35"/>
      <c r="IX248" s="35"/>
      <c r="IY248" s="35"/>
      <c r="IZ248" s="35"/>
      <c r="JA248" s="35"/>
      <c r="JB248" s="35"/>
      <c r="JC248" s="35"/>
      <c r="JD248" s="35"/>
      <c r="JE248" s="35"/>
      <c r="JF248" s="35"/>
      <c r="JG248" s="35"/>
      <c r="JH248" s="35"/>
      <c r="JI248" s="35"/>
      <c r="JJ248" s="35"/>
      <c r="JK248" s="35"/>
      <c r="JL248" s="35"/>
      <c r="JM248" s="35"/>
      <c r="JN248" s="35"/>
      <c r="JO248" s="35"/>
      <c r="JP248" s="35"/>
      <c r="JQ248" s="35"/>
      <c r="JR248" s="35"/>
      <c r="JS248" s="35"/>
      <c r="JT248" s="35"/>
      <c r="JU248" s="35"/>
      <c r="JV248" s="35"/>
      <c r="JW248" s="35"/>
      <c r="JX248" s="35"/>
      <c r="JY248" s="35"/>
    </row>
    <row r="249">
      <c r="A249" s="28" t="s">
        <v>459</v>
      </c>
      <c r="B249" s="30"/>
      <c r="C249" s="78"/>
      <c r="D249" s="30"/>
      <c r="E249" s="31"/>
      <c r="F249" s="32"/>
      <c r="G249" s="32"/>
      <c r="H249" s="33"/>
      <c r="I249" s="72"/>
      <c r="J249" s="32"/>
      <c r="K249" s="33"/>
      <c r="L249" s="36" t="b">
        <v>0</v>
      </c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35"/>
      <c r="DX249" s="35"/>
      <c r="DY249" s="35"/>
      <c r="DZ249" s="35"/>
      <c r="EA249" s="35"/>
      <c r="EB249" s="35"/>
      <c r="EC249" s="35"/>
      <c r="ED249" s="35"/>
      <c r="EE249" s="35"/>
      <c r="EF249" s="35"/>
      <c r="EG249" s="35"/>
      <c r="EH249" s="35"/>
      <c r="EI249" s="35"/>
      <c r="EJ249" s="35"/>
      <c r="EK249" s="35"/>
      <c r="EL249" s="35"/>
      <c r="EM249" s="35"/>
      <c r="EN249" s="35"/>
      <c r="EO249" s="35"/>
      <c r="EP249" s="35"/>
      <c r="EQ249" s="35"/>
      <c r="ER249" s="35"/>
      <c r="ES249" s="35"/>
      <c r="ET249" s="35"/>
      <c r="EU249" s="35"/>
      <c r="EV249" s="35"/>
      <c r="EW249" s="35"/>
      <c r="EX249" s="35"/>
      <c r="EY249" s="35"/>
      <c r="EZ249" s="35"/>
      <c r="FA249" s="35"/>
      <c r="FB249" s="35"/>
      <c r="FC249" s="35"/>
      <c r="FD249" s="35"/>
      <c r="FE249" s="35"/>
      <c r="FF249" s="35"/>
      <c r="FG249" s="35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  <c r="FS249" s="35"/>
      <c r="FT249" s="35"/>
      <c r="FU249" s="35"/>
      <c r="FV249" s="35"/>
      <c r="FW249" s="35"/>
      <c r="FX249" s="35"/>
      <c r="FY249" s="35"/>
      <c r="FZ249" s="35"/>
      <c r="GA249" s="35"/>
      <c r="GB249" s="35"/>
      <c r="GC249" s="35"/>
      <c r="GD249" s="35"/>
      <c r="GE249" s="35"/>
      <c r="GF249" s="35"/>
      <c r="GG249" s="35"/>
      <c r="GH249" s="35"/>
      <c r="GI249" s="35"/>
      <c r="GJ249" s="35"/>
      <c r="GK249" s="35"/>
      <c r="GL249" s="35"/>
      <c r="GM249" s="35"/>
      <c r="GN249" s="35"/>
      <c r="GO249" s="35"/>
      <c r="GP249" s="35"/>
      <c r="GQ249" s="35"/>
      <c r="GR249" s="35"/>
      <c r="GS249" s="35"/>
      <c r="GT249" s="35"/>
      <c r="GU249" s="35"/>
      <c r="GV249" s="35"/>
      <c r="GW249" s="35"/>
      <c r="GX249" s="35"/>
      <c r="GY249" s="35"/>
      <c r="GZ249" s="35"/>
      <c r="HA249" s="35"/>
      <c r="HB249" s="35"/>
      <c r="HC249" s="35"/>
      <c r="HD249" s="35"/>
      <c r="HE249" s="35"/>
      <c r="HF249" s="35"/>
      <c r="HG249" s="35"/>
      <c r="HH249" s="35"/>
      <c r="HI249" s="35"/>
      <c r="HJ249" s="35"/>
      <c r="HK249" s="35"/>
      <c r="HL249" s="35"/>
      <c r="HM249" s="35"/>
      <c r="HN249" s="35"/>
      <c r="HO249" s="35"/>
      <c r="HP249" s="35"/>
      <c r="HQ249" s="35"/>
      <c r="HR249" s="35"/>
      <c r="HS249" s="35"/>
      <c r="HT249" s="35"/>
      <c r="HU249" s="35"/>
      <c r="HV249" s="35"/>
      <c r="HW249" s="35"/>
      <c r="HX249" s="35"/>
      <c r="HY249" s="35"/>
      <c r="HZ249" s="35"/>
      <c r="IA249" s="35"/>
      <c r="IB249" s="35"/>
      <c r="IC249" s="35"/>
      <c r="ID249" s="35"/>
      <c r="IE249" s="35"/>
      <c r="IF249" s="35"/>
      <c r="IG249" s="35"/>
      <c r="IH249" s="35"/>
      <c r="II249" s="35"/>
      <c r="IJ249" s="35"/>
      <c r="IK249" s="35"/>
      <c r="IL249" s="35"/>
      <c r="IM249" s="35"/>
      <c r="IN249" s="35"/>
      <c r="IO249" s="35"/>
      <c r="IP249" s="35"/>
      <c r="IQ249" s="35"/>
      <c r="IR249" s="35"/>
      <c r="IS249" s="35"/>
      <c r="IT249" s="35"/>
      <c r="IU249" s="35"/>
      <c r="IV249" s="35"/>
      <c r="IW249" s="35"/>
      <c r="IX249" s="35"/>
      <c r="IY249" s="35"/>
      <c r="IZ249" s="35"/>
      <c r="JA249" s="35"/>
      <c r="JB249" s="35"/>
      <c r="JC249" s="35"/>
      <c r="JD249" s="35"/>
      <c r="JE249" s="35"/>
      <c r="JF249" s="35"/>
      <c r="JG249" s="35"/>
      <c r="JH249" s="35"/>
      <c r="JI249" s="35"/>
      <c r="JJ249" s="35"/>
      <c r="JK249" s="35"/>
      <c r="JL249" s="35"/>
      <c r="JM249" s="35"/>
      <c r="JN249" s="35"/>
      <c r="JO249" s="35"/>
      <c r="JP249" s="35"/>
      <c r="JQ249" s="35"/>
      <c r="JR249" s="35"/>
      <c r="JS249" s="35"/>
      <c r="JT249" s="35"/>
      <c r="JU249" s="35"/>
      <c r="JV249" s="35"/>
      <c r="JW249" s="35"/>
      <c r="JX249" s="35"/>
      <c r="JY249" s="35"/>
    </row>
    <row r="250">
      <c r="A250" s="28" t="s">
        <v>460</v>
      </c>
      <c r="B250" s="30"/>
      <c r="C250" s="78"/>
      <c r="D250" s="30"/>
      <c r="E250" s="31"/>
      <c r="F250" s="32"/>
      <c r="G250" s="32"/>
      <c r="H250" s="33"/>
      <c r="I250" s="72"/>
      <c r="J250" s="32"/>
      <c r="K250" s="33"/>
      <c r="L250" s="36" t="b">
        <v>0</v>
      </c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  <c r="ER250" s="35"/>
      <c r="ES250" s="35"/>
      <c r="ET250" s="35"/>
      <c r="EU250" s="35"/>
      <c r="EV250" s="35"/>
      <c r="EW250" s="35"/>
      <c r="EX250" s="35"/>
      <c r="EY250" s="35"/>
      <c r="EZ250" s="35"/>
      <c r="FA250" s="35"/>
      <c r="FB250" s="35"/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  <c r="FS250" s="35"/>
      <c r="FT250" s="35"/>
      <c r="FU250" s="35"/>
      <c r="FV250" s="35"/>
      <c r="FW250" s="35"/>
      <c r="FX250" s="35"/>
      <c r="FY250" s="35"/>
      <c r="FZ250" s="35"/>
      <c r="GA250" s="35"/>
      <c r="GB250" s="35"/>
      <c r="GC250" s="35"/>
      <c r="GD250" s="35"/>
      <c r="GE250" s="35"/>
      <c r="GF250" s="35"/>
      <c r="GG250" s="35"/>
      <c r="GH250" s="35"/>
      <c r="GI250" s="35"/>
      <c r="GJ250" s="35"/>
      <c r="GK250" s="35"/>
      <c r="GL250" s="35"/>
      <c r="GM250" s="35"/>
      <c r="GN250" s="35"/>
      <c r="GO250" s="35"/>
      <c r="GP250" s="35"/>
      <c r="GQ250" s="35"/>
      <c r="GR250" s="35"/>
      <c r="GS250" s="35"/>
      <c r="GT250" s="35"/>
      <c r="GU250" s="35"/>
      <c r="GV250" s="35"/>
      <c r="GW250" s="35"/>
      <c r="GX250" s="35"/>
      <c r="GY250" s="35"/>
      <c r="GZ250" s="35"/>
      <c r="HA250" s="35"/>
      <c r="HB250" s="35"/>
      <c r="HC250" s="35"/>
      <c r="HD250" s="35"/>
      <c r="HE250" s="35"/>
      <c r="HF250" s="35"/>
      <c r="HG250" s="35"/>
      <c r="HH250" s="35"/>
      <c r="HI250" s="35"/>
      <c r="HJ250" s="35"/>
      <c r="HK250" s="35"/>
      <c r="HL250" s="35"/>
      <c r="HM250" s="35"/>
      <c r="HN250" s="35"/>
      <c r="HO250" s="35"/>
      <c r="HP250" s="35"/>
      <c r="HQ250" s="35"/>
      <c r="HR250" s="35"/>
      <c r="HS250" s="35"/>
      <c r="HT250" s="35"/>
      <c r="HU250" s="35"/>
      <c r="HV250" s="35"/>
      <c r="HW250" s="35"/>
      <c r="HX250" s="35"/>
      <c r="HY250" s="35"/>
      <c r="HZ250" s="35"/>
      <c r="IA250" s="35"/>
      <c r="IB250" s="35"/>
      <c r="IC250" s="35"/>
      <c r="ID250" s="35"/>
      <c r="IE250" s="35"/>
      <c r="IF250" s="35"/>
      <c r="IG250" s="35"/>
      <c r="IH250" s="35"/>
      <c r="II250" s="35"/>
      <c r="IJ250" s="35"/>
      <c r="IK250" s="35"/>
      <c r="IL250" s="35"/>
      <c r="IM250" s="35"/>
      <c r="IN250" s="35"/>
      <c r="IO250" s="35"/>
      <c r="IP250" s="35"/>
      <c r="IQ250" s="35"/>
      <c r="IR250" s="35"/>
      <c r="IS250" s="35"/>
      <c r="IT250" s="35"/>
      <c r="IU250" s="35"/>
      <c r="IV250" s="35"/>
      <c r="IW250" s="35"/>
      <c r="IX250" s="35"/>
      <c r="IY250" s="35"/>
      <c r="IZ250" s="35"/>
      <c r="JA250" s="35"/>
      <c r="JB250" s="35"/>
      <c r="JC250" s="35"/>
      <c r="JD250" s="35"/>
      <c r="JE250" s="35"/>
      <c r="JF250" s="35"/>
      <c r="JG250" s="35"/>
      <c r="JH250" s="35"/>
      <c r="JI250" s="35"/>
      <c r="JJ250" s="35"/>
      <c r="JK250" s="35"/>
      <c r="JL250" s="35"/>
      <c r="JM250" s="35"/>
      <c r="JN250" s="35"/>
      <c r="JO250" s="35"/>
      <c r="JP250" s="35"/>
      <c r="JQ250" s="35"/>
      <c r="JR250" s="35"/>
      <c r="JS250" s="35"/>
      <c r="JT250" s="35"/>
      <c r="JU250" s="35"/>
      <c r="JV250" s="35"/>
      <c r="JW250" s="35"/>
      <c r="JX250" s="35"/>
      <c r="JY250" s="35"/>
    </row>
    <row r="251">
      <c r="A251" s="28" t="s">
        <v>461</v>
      </c>
      <c r="B251" s="30"/>
      <c r="C251" s="78"/>
      <c r="D251" s="30"/>
      <c r="E251" s="31"/>
      <c r="F251" s="32"/>
      <c r="G251" s="32"/>
      <c r="H251" s="33"/>
      <c r="I251" s="72"/>
      <c r="J251" s="32"/>
      <c r="K251" s="33"/>
      <c r="L251" s="36" t="b">
        <v>0</v>
      </c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35"/>
      <c r="EZ251" s="35"/>
      <c r="FA251" s="35"/>
      <c r="FB251" s="35"/>
      <c r="FC251" s="35"/>
      <c r="FD251" s="35"/>
      <c r="FE251" s="35"/>
      <c r="FF251" s="35"/>
      <c r="FG251" s="35"/>
      <c r="FH251" s="35"/>
      <c r="FI251" s="35"/>
      <c r="FJ251" s="35"/>
      <c r="FK251" s="35"/>
      <c r="FL251" s="35"/>
      <c r="FM251" s="35"/>
      <c r="FN251" s="35"/>
      <c r="FO251" s="35"/>
      <c r="FP251" s="35"/>
      <c r="FQ251" s="35"/>
      <c r="FR251" s="35"/>
      <c r="FS251" s="35"/>
      <c r="FT251" s="35"/>
      <c r="FU251" s="35"/>
      <c r="FV251" s="35"/>
      <c r="FW251" s="35"/>
      <c r="FX251" s="35"/>
      <c r="FY251" s="35"/>
      <c r="FZ251" s="35"/>
      <c r="GA251" s="35"/>
      <c r="GB251" s="35"/>
      <c r="GC251" s="35"/>
      <c r="GD251" s="35"/>
      <c r="GE251" s="35"/>
      <c r="GF251" s="35"/>
      <c r="GG251" s="35"/>
      <c r="GH251" s="35"/>
      <c r="GI251" s="35"/>
      <c r="GJ251" s="35"/>
      <c r="GK251" s="35"/>
      <c r="GL251" s="35"/>
      <c r="GM251" s="35"/>
      <c r="GN251" s="35"/>
      <c r="GO251" s="35"/>
      <c r="GP251" s="35"/>
      <c r="GQ251" s="35"/>
      <c r="GR251" s="35"/>
      <c r="GS251" s="35"/>
      <c r="GT251" s="35"/>
      <c r="GU251" s="35"/>
      <c r="GV251" s="35"/>
      <c r="GW251" s="35"/>
      <c r="GX251" s="35"/>
      <c r="GY251" s="35"/>
      <c r="GZ251" s="35"/>
      <c r="HA251" s="35"/>
      <c r="HB251" s="35"/>
      <c r="HC251" s="35"/>
      <c r="HD251" s="35"/>
      <c r="HE251" s="35"/>
      <c r="HF251" s="35"/>
      <c r="HG251" s="35"/>
      <c r="HH251" s="35"/>
      <c r="HI251" s="35"/>
      <c r="HJ251" s="35"/>
      <c r="HK251" s="35"/>
      <c r="HL251" s="35"/>
      <c r="HM251" s="35"/>
      <c r="HN251" s="35"/>
      <c r="HO251" s="35"/>
      <c r="HP251" s="35"/>
      <c r="HQ251" s="35"/>
      <c r="HR251" s="35"/>
      <c r="HS251" s="35"/>
      <c r="HT251" s="35"/>
      <c r="HU251" s="35"/>
      <c r="HV251" s="35"/>
      <c r="HW251" s="35"/>
      <c r="HX251" s="35"/>
      <c r="HY251" s="35"/>
      <c r="HZ251" s="35"/>
      <c r="IA251" s="35"/>
      <c r="IB251" s="35"/>
      <c r="IC251" s="35"/>
      <c r="ID251" s="35"/>
      <c r="IE251" s="35"/>
      <c r="IF251" s="35"/>
      <c r="IG251" s="35"/>
      <c r="IH251" s="35"/>
      <c r="II251" s="35"/>
      <c r="IJ251" s="35"/>
      <c r="IK251" s="35"/>
      <c r="IL251" s="35"/>
      <c r="IM251" s="35"/>
      <c r="IN251" s="35"/>
      <c r="IO251" s="35"/>
      <c r="IP251" s="35"/>
      <c r="IQ251" s="35"/>
      <c r="IR251" s="35"/>
      <c r="IS251" s="35"/>
      <c r="IT251" s="35"/>
      <c r="IU251" s="35"/>
      <c r="IV251" s="35"/>
      <c r="IW251" s="35"/>
      <c r="IX251" s="35"/>
      <c r="IY251" s="35"/>
      <c r="IZ251" s="35"/>
      <c r="JA251" s="35"/>
      <c r="JB251" s="35"/>
      <c r="JC251" s="35"/>
      <c r="JD251" s="35"/>
      <c r="JE251" s="35"/>
      <c r="JF251" s="35"/>
      <c r="JG251" s="35"/>
      <c r="JH251" s="35"/>
      <c r="JI251" s="35"/>
      <c r="JJ251" s="35"/>
      <c r="JK251" s="35"/>
      <c r="JL251" s="35"/>
      <c r="JM251" s="35"/>
      <c r="JN251" s="35"/>
      <c r="JO251" s="35"/>
      <c r="JP251" s="35"/>
      <c r="JQ251" s="35"/>
      <c r="JR251" s="35"/>
      <c r="JS251" s="35"/>
      <c r="JT251" s="35"/>
      <c r="JU251" s="35"/>
      <c r="JV251" s="35"/>
      <c r="JW251" s="35"/>
      <c r="JX251" s="35"/>
      <c r="JY251" s="35"/>
    </row>
    <row r="252">
      <c r="A252" s="28" t="s">
        <v>462</v>
      </c>
      <c r="B252" s="30"/>
      <c r="C252" s="78"/>
      <c r="D252" s="30"/>
      <c r="E252" s="31"/>
      <c r="F252" s="32"/>
      <c r="G252" s="32"/>
      <c r="H252" s="33"/>
      <c r="I252" s="72"/>
      <c r="J252" s="32"/>
      <c r="K252" s="33"/>
      <c r="L252" s="36" t="b">
        <v>0</v>
      </c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35"/>
      <c r="EE252" s="35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  <c r="FS252" s="35"/>
      <c r="FT252" s="35"/>
      <c r="FU252" s="35"/>
      <c r="FV252" s="35"/>
      <c r="FW252" s="35"/>
      <c r="FX252" s="35"/>
      <c r="FY252" s="35"/>
      <c r="FZ252" s="35"/>
      <c r="GA252" s="35"/>
      <c r="GB252" s="35"/>
      <c r="GC252" s="35"/>
      <c r="GD252" s="35"/>
      <c r="GE252" s="35"/>
      <c r="GF252" s="35"/>
      <c r="GG252" s="35"/>
      <c r="GH252" s="35"/>
      <c r="GI252" s="35"/>
      <c r="GJ252" s="35"/>
      <c r="GK252" s="35"/>
      <c r="GL252" s="35"/>
      <c r="GM252" s="35"/>
      <c r="GN252" s="35"/>
      <c r="GO252" s="35"/>
      <c r="GP252" s="35"/>
      <c r="GQ252" s="35"/>
      <c r="GR252" s="35"/>
      <c r="GS252" s="35"/>
      <c r="GT252" s="35"/>
      <c r="GU252" s="35"/>
      <c r="GV252" s="35"/>
      <c r="GW252" s="35"/>
      <c r="GX252" s="35"/>
      <c r="GY252" s="35"/>
      <c r="GZ252" s="35"/>
      <c r="HA252" s="35"/>
      <c r="HB252" s="35"/>
      <c r="HC252" s="35"/>
      <c r="HD252" s="35"/>
      <c r="HE252" s="35"/>
      <c r="HF252" s="35"/>
      <c r="HG252" s="35"/>
      <c r="HH252" s="35"/>
      <c r="HI252" s="35"/>
      <c r="HJ252" s="35"/>
      <c r="HK252" s="35"/>
      <c r="HL252" s="35"/>
      <c r="HM252" s="35"/>
      <c r="HN252" s="35"/>
      <c r="HO252" s="35"/>
      <c r="HP252" s="35"/>
      <c r="HQ252" s="35"/>
      <c r="HR252" s="35"/>
      <c r="HS252" s="35"/>
      <c r="HT252" s="35"/>
      <c r="HU252" s="35"/>
      <c r="HV252" s="35"/>
      <c r="HW252" s="35"/>
      <c r="HX252" s="35"/>
      <c r="HY252" s="35"/>
      <c r="HZ252" s="35"/>
      <c r="IA252" s="35"/>
      <c r="IB252" s="35"/>
      <c r="IC252" s="35"/>
      <c r="ID252" s="35"/>
      <c r="IE252" s="35"/>
      <c r="IF252" s="35"/>
      <c r="IG252" s="35"/>
      <c r="IH252" s="35"/>
      <c r="II252" s="35"/>
      <c r="IJ252" s="35"/>
      <c r="IK252" s="35"/>
      <c r="IL252" s="35"/>
      <c r="IM252" s="35"/>
      <c r="IN252" s="35"/>
      <c r="IO252" s="35"/>
      <c r="IP252" s="35"/>
      <c r="IQ252" s="35"/>
      <c r="IR252" s="35"/>
      <c r="IS252" s="35"/>
      <c r="IT252" s="35"/>
      <c r="IU252" s="35"/>
      <c r="IV252" s="35"/>
      <c r="IW252" s="35"/>
      <c r="IX252" s="35"/>
      <c r="IY252" s="35"/>
      <c r="IZ252" s="35"/>
      <c r="JA252" s="35"/>
      <c r="JB252" s="35"/>
      <c r="JC252" s="35"/>
      <c r="JD252" s="35"/>
      <c r="JE252" s="35"/>
      <c r="JF252" s="35"/>
      <c r="JG252" s="35"/>
      <c r="JH252" s="35"/>
      <c r="JI252" s="35"/>
      <c r="JJ252" s="35"/>
      <c r="JK252" s="35"/>
      <c r="JL252" s="35"/>
      <c r="JM252" s="35"/>
      <c r="JN252" s="35"/>
      <c r="JO252" s="35"/>
      <c r="JP252" s="35"/>
      <c r="JQ252" s="35"/>
      <c r="JR252" s="35"/>
      <c r="JS252" s="35"/>
      <c r="JT252" s="35"/>
      <c r="JU252" s="35"/>
      <c r="JV252" s="35"/>
      <c r="JW252" s="35"/>
      <c r="JX252" s="35"/>
      <c r="JY252" s="35"/>
    </row>
    <row r="253">
      <c r="A253" s="28" t="s">
        <v>463</v>
      </c>
      <c r="B253" s="30"/>
      <c r="C253" s="78"/>
      <c r="D253" s="30"/>
      <c r="E253" s="31"/>
      <c r="F253" s="32"/>
      <c r="G253" s="32"/>
      <c r="H253" s="33"/>
      <c r="I253" s="72"/>
      <c r="J253" s="32"/>
      <c r="K253" s="33"/>
      <c r="L253" s="36" t="b">
        <v>0</v>
      </c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35"/>
      <c r="EE253" s="35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  <c r="FS253" s="35"/>
      <c r="FT253" s="35"/>
      <c r="FU253" s="35"/>
      <c r="FV253" s="35"/>
      <c r="FW253" s="35"/>
      <c r="FX253" s="35"/>
      <c r="FY253" s="35"/>
      <c r="FZ253" s="35"/>
      <c r="GA253" s="35"/>
      <c r="GB253" s="35"/>
      <c r="GC253" s="35"/>
      <c r="GD253" s="35"/>
      <c r="GE253" s="35"/>
      <c r="GF253" s="35"/>
      <c r="GG253" s="35"/>
      <c r="GH253" s="35"/>
      <c r="GI253" s="35"/>
      <c r="GJ253" s="35"/>
      <c r="GK253" s="35"/>
      <c r="GL253" s="35"/>
      <c r="GM253" s="35"/>
      <c r="GN253" s="35"/>
      <c r="GO253" s="35"/>
      <c r="GP253" s="35"/>
      <c r="GQ253" s="35"/>
      <c r="GR253" s="35"/>
      <c r="GS253" s="35"/>
      <c r="GT253" s="35"/>
      <c r="GU253" s="35"/>
      <c r="GV253" s="35"/>
      <c r="GW253" s="35"/>
      <c r="GX253" s="35"/>
      <c r="GY253" s="35"/>
      <c r="GZ253" s="35"/>
      <c r="HA253" s="35"/>
      <c r="HB253" s="35"/>
      <c r="HC253" s="35"/>
      <c r="HD253" s="35"/>
      <c r="HE253" s="35"/>
      <c r="HF253" s="35"/>
      <c r="HG253" s="35"/>
      <c r="HH253" s="35"/>
      <c r="HI253" s="35"/>
      <c r="HJ253" s="35"/>
      <c r="HK253" s="35"/>
      <c r="HL253" s="35"/>
      <c r="HM253" s="35"/>
      <c r="HN253" s="35"/>
      <c r="HO253" s="35"/>
      <c r="HP253" s="35"/>
      <c r="HQ253" s="35"/>
      <c r="HR253" s="35"/>
      <c r="HS253" s="35"/>
      <c r="HT253" s="35"/>
      <c r="HU253" s="35"/>
      <c r="HV253" s="35"/>
      <c r="HW253" s="35"/>
      <c r="HX253" s="35"/>
      <c r="HY253" s="35"/>
      <c r="HZ253" s="35"/>
      <c r="IA253" s="35"/>
      <c r="IB253" s="35"/>
      <c r="IC253" s="35"/>
      <c r="ID253" s="35"/>
      <c r="IE253" s="35"/>
      <c r="IF253" s="35"/>
      <c r="IG253" s="35"/>
      <c r="IH253" s="35"/>
      <c r="II253" s="35"/>
      <c r="IJ253" s="35"/>
      <c r="IK253" s="35"/>
      <c r="IL253" s="35"/>
      <c r="IM253" s="35"/>
      <c r="IN253" s="35"/>
      <c r="IO253" s="35"/>
      <c r="IP253" s="35"/>
      <c r="IQ253" s="35"/>
      <c r="IR253" s="35"/>
      <c r="IS253" s="35"/>
      <c r="IT253" s="35"/>
      <c r="IU253" s="35"/>
      <c r="IV253" s="35"/>
      <c r="IW253" s="35"/>
      <c r="IX253" s="35"/>
      <c r="IY253" s="35"/>
      <c r="IZ253" s="35"/>
      <c r="JA253" s="35"/>
      <c r="JB253" s="35"/>
      <c r="JC253" s="35"/>
      <c r="JD253" s="35"/>
      <c r="JE253" s="35"/>
      <c r="JF253" s="35"/>
      <c r="JG253" s="35"/>
      <c r="JH253" s="35"/>
      <c r="JI253" s="35"/>
      <c r="JJ253" s="35"/>
      <c r="JK253" s="35"/>
      <c r="JL253" s="35"/>
      <c r="JM253" s="35"/>
      <c r="JN253" s="35"/>
      <c r="JO253" s="35"/>
      <c r="JP253" s="35"/>
      <c r="JQ253" s="35"/>
      <c r="JR253" s="35"/>
      <c r="JS253" s="35"/>
      <c r="JT253" s="35"/>
      <c r="JU253" s="35"/>
      <c r="JV253" s="35"/>
      <c r="JW253" s="35"/>
      <c r="JX253" s="35"/>
      <c r="JY253" s="35"/>
    </row>
    <row r="254">
      <c r="A254" s="28" t="s">
        <v>464</v>
      </c>
      <c r="B254" s="30"/>
      <c r="C254" s="78"/>
      <c r="D254" s="30"/>
      <c r="E254" s="31"/>
      <c r="F254" s="32"/>
      <c r="G254" s="32"/>
      <c r="H254" s="33"/>
      <c r="I254" s="72"/>
      <c r="J254" s="32"/>
      <c r="K254" s="33"/>
      <c r="L254" s="36" t="b">
        <v>0</v>
      </c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35"/>
      <c r="EE254" s="35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/>
      <c r="FT254" s="35"/>
      <c r="FU254" s="35"/>
      <c r="FV254" s="35"/>
      <c r="FW254" s="35"/>
      <c r="FX254" s="35"/>
      <c r="FY254" s="35"/>
      <c r="FZ254" s="35"/>
      <c r="GA254" s="35"/>
      <c r="GB254" s="35"/>
      <c r="GC254" s="35"/>
      <c r="GD254" s="35"/>
      <c r="GE254" s="35"/>
      <c r="GF254" s="35"/>
      <c r="GG254" s="35"/>
      <c r="GH254" s="35"/>
      <c r="GI254" s="35"/>
      <c r="GJ254" s="35"/>
      <c r="GK254" s="35"/>
      <c r="GL254" s="35"/>
      <c r="GM254" s="35"/>
      <c r="GN254" s="35"/>
      <c r="GO254" s="35"/>
      <c r="GP254" s="35"/>
      <c r="GQ254" s="35"/>
      <c r="GR254" s="35"/>
      <c r="GS254" s="35"/>
      <c r="GT254" s="35"/>
      <c r="GU254" s="35"/>
      <c r="GV254" s="35"/>
      <c r="GW254" s="35"/>
      <c r="GX254" s="35"/>
      <c r="GY254" s="35"/>
      <c r="GZ254" s="35"/>
      <c r="HA254" s="35"/>
      <c r="HB254" s="35"/>
      <c r="HC254" s="35"/>
      <c r="HD254" s="35"/>
      <c r="HE254" s="35"/>
      <c r="HF254" s="35"/>
      <c r="HG254" s="35"/>
      <c r="HH254" s="35"/>
      <c r="HI254" s="35"/>
      <c r="HJ254" s="35"/>
      <c r="HK254" s="35"/>
      <c r="HL254" s="35"/>
      <c r="HM254" s="35"/>
      <c r="HN254" s="35"/>
      <c r="HO254" s="35"/>
      <c r="HP254" s="35"/>
      <c r="HQ254" s="35"/>
      <c r="HR254" s="35"/>
      <c r="HS254" s="35"/>
      <c r="HT254" s="35"/>
      <c r="HU254" s="35"/>
      <c r="HV254" s="35"/>
      <c r="HW254" s="35"/>
      <c r="HX254" s="35"/>
      <c r="HY254" s="35"/>
      <c r="HZ254" s="35"/>
      <c r="IA254" s="35"/>
      <c r="IB254" s="35"/>
      <c r="IC254" s="35"/>
      <c r="ID254" s="35"/>
      <c r="IE254" s="35"/>
      <c r="IF254" s="35"/>
      <c r="IG254" s="35"/>
      <c r="IH254" s="35"/>
      <c r="II254" s="35"/>
      <c r="IJ254" s="35"/>
      <c r="IK254" s="35"/>
      <c r="IL254" s="35"/>
      <c r="IM254" s="35"/>
      <c r="IN254" s="35"/>
      <c r="IO254" s="35"/>
      <c r="IP254" s="35"/>
      <c r="IQ254" s="35"/>
      <c r="IR254" s="35"/>
      <c r="IS254" s="35"/>
      <c r="IT254" s="35"/>
      <c r="IU254" s="35"/>
      <c r="IV254" s="35"/>
      <c r="IW254" s="35"/>
      <c r="IX254" s="35"/>
      <c r="IY254" s="35"/>
      <c r="IZ254" s="35"/>
      <c r="JA254" s="35"/>
      <c r="JB254" s="35"/>
      <c r="JC254" s="35"/>
      <c r="JD254" s="35"/>
      <c r="JE254" s="35"/>
      <c r="JF254" s="35"/>
      <c r="JG254" s="35"/>
      <c r="JH254" s="35"/>
      <c r="JI254" s="35"/>
      <c r="JJ254" s="35"/>
      <c r="JK254" s="35"/>
      <c r="JL254" s="35"/>
      <c r="JM254" s="35"/>
      <c r="JN254" s="35"/>
      <c r="JO254" s="35"/>
      <c r="JP254" s="35"/>
      <c r="JQ254" s="35"/>
      <c r="JR254" s="35"/>
      <c r="JS254" s="35"/>
      <c r="JT254" s="35"/>
      <c r="JU254" s="35"/>
      <c r="JV254" s="35"/>
      <c r="JW254" s="35"/>
      <c r="JX254" s="35"/>
      <c r="JY254" s="35"/>
    </row>
  </sheetData>
  <mergeCells count="13">
    <mergeCell ref="B1:B2"/>
    <mergeCell ref="B84:B85"/>
    <mergeCell ref="B94:B95"/>
    <mergeCell ref="C94:C95"/>
    <mergeCell ref="F94:F95"/>
    <mergeCell ref="G94:G95"/>
    <mergeCell ref="A1:A2"/>
    <mergeCell ref="C1:C2"/>
    <mergeCell ref="D1:D2"/>
    <mergeCell ref="E1:E2"/>
    <mergeCell ref="F1:H1"/>
    <mergeCell ref="I1:K1"/>
    <mergeCell ref="L1:L2"/>
  </mergeCells>
  <conditionalFormatting sqref="M1:JY2">
    <cfRule type="expression" dxfId="0" priority="1">
      <formula>if(M$1="ВС",1,0)</formula>
    </cfRule>
  </conditionalFormatting>
  <conditionalFormatting sqref="I3:J27 I34 J34:J37 G35:G37 I36:I37 I46:J46 I53:J254">
    <cfRule type="expression" dxfId="1" priority="2">
      <formula>IF(I3&lt;F3,1,0)</formula>
    </cfRule>
  </conditionalFormatting>
  <conditionalFormatting sqref="I3:J27 I34 J34:J37 G35:G37 I36:I37 I46:J46 I53:J254">
    <cfRule type="expression" dxfId="2" priority="3">
      <formula>IF(I3&gt;F3,1,0)</formula>
    </cfRule>
  </conditionalFormatting>
  <conditionalFormatting sqref="M3:JY254">
    <cfRule type="expression" dxfId="3" priority="4">
      <formula>IF(AND($F3&gt;0,$G3&gt;0,M$2&gt;=$F3,M$2&lt;=$G3),1,0)</formula>
    </cfRule>
  </conditionalFormatting>
  <dataValidations>
    <dataValidation type="list" allowBlank="1" showErrorMessage="1" sqref="C150">
      <formula1>'Рабочий лист'!$A$2:$A254</formula1>
    </dataValidation>
    <dataValidation type="list" allowBlank="1" sqref="C53:D66 C67 C68:D94 D95 C96:D138">
      <formula1>#REF!</formula1>
    </dataValidation>
    <dataValidation type="list" allowBlank="1" showErrorMessage="1" sqref="C139:C149 C151:C254">
      <formula1>'Рабочий лист'!$A$2:$A$23</formula1>
    </dataValidation>
    <dataValidation type="list" allowBlank="1" sqref="C3:D52 D67 D139:D254">
      <formula1>'Список студентов'!$B$3:$B$101</formula1>
    </dataValidation>
    <dataValidation type="list" allowBlank="1" showErrorMessage="1" sqref="E3:E254">
      <formula1>"1,2,3,4,5,6,7,8,9,10"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0"/>
    <col customWidth="1" min="2" max="3" width="42.75"/>
    <col customWidth="1" min="4" max="4" width="8.63"/>
    <col customWidth="1" min="5" max="5" width="14.5"/>
    <col customWidth="1" min="6" max="6" width="39.25"/>
    <col customWidth="1" min="7" max="7" width="8.38"/>
    <col customWidth="1" min="8" max="8" width="55.13"/>
    <col customWidth="1" min="9" max="11" width="9.88"/>
  </cols>
  <sheetData>
    <row r="1">
      <c r="A1" s="25" t="s">
        <v>49</v>
      </c>
      <c r="B1" s="25" t="s">
        <v>465</v>
      </c>
      <c r="C1" s="25" t="s">
        <v>466</v>
      </c>
      <c r="D1" s="25" t="s">
        <v>467</v>
      </c>
      <c r="E1" s="25" t="s">
        <v>468</v>
      </c>
      <c r="F1" s="25" t="s">
        <v>469</v>
      </c>
      <c r="G1" s="25" t="s">
        <v>470</v>
      </c>
      <c r="I1" s="25" t="s">
        <v>471</v>
      </c>
    </row>
    <row r="2">
      <c r="G2" s="25" t="s">
        <v>472</v>
      </c>
      <c r="H2" s="25" t="s">
        <v>473</v>
      </c>
      <c r="I2" s="25" t="s">
        <v>474</v>
      </c>
      <c r="J2" s="25" t="s">
        <v>55</v>
      </c>
      <c r="K2" s="25" t="s">
        <v>66</v>
      </c>
    </row>
    <row r="3">
      <c r="A3" s="80">
        <v>1.0</v>
      </c>
      <c r="B3" s="81" t="s">
        <v>465</v>
      </c>
      <c r="C3" s="14" t="s">
        <v>466</v>
      </c>
      <c r="D3" s="82" t="s">
        <v>475</v>
      </c>
      <c r="E3" s="82" t="s">
        <v>468</v>
      </c>
      <c r="F3" s="83"/>
      <c r="G3" s="84"/>
      <c r="H3" s="85"/>
      <c r="I3" s="86" t="str">
        <f>IFERROR(__xludf.DUMMYFUNCTION("IF(LEN(B3)&gt;0,IFERROR(SUM(FILTER('Дорожная карта'!E:E,'Дорожная карта'!D:D=B3)),),)"),"")</f>
        <v/>
      </c>
      <c r="J3" s="86" t="str">
        <f>IFERROR(__xludf.DUMMYFUNCTION("IFERROR(SUM(FILTER('Дорожная карта'!E:E,'Дорожная карта'!D:D=B3,'Дорожная карта'!L:L=TRUE())))"),"")</f>
        <v/>
      </c>
      <c r="K3" s="86" t="str">
        <f t="shared" ref="K3:K102" si="1">IF(J3&lt;&gt;0,G3+J3,)</f>
        <v/>
      </c>
    </row>
    <row r="4">
      <c r="A4" s="80">
        <v>2.0</v>
      </c>
      <c r="B4" s="87" t="s">
        <v>69</v>
      </c>
      <c r="C4" s="81" t="s">
        <v>476</v>
      </c>
      <c r="D4" s="88" t="s">
        <v>477</v>
      </c>
      <c r="E4" s="88" t="s">
        <v>478</v>
      </c>
      <c r="F4" s="89"/>
      <c r="G4" s="85"/>
      <c r="H4" s="85"/>
      <c r="I4" s="86" t="str">
        <f>IFERROR(__xludf.DUMMYFUNCTION("IF(LEN(#REF!)&gt;0,IFERROR(SUM(FILTER('Дорожная карта'!E:E,'Дорожная карта'!D:D=#REF!)),),)"),"#REF!")</f>
        <v>#REF!</v>
      </c>
      <c r="J4" s="86" t="str">
        <f>IFERROR(__xludf.DUMMYFUNCTION("IFERROR(SUM(FILTER('Дорожная карта'!E:E,'Дорожная карта'!D:D=#REF!,'Дорожная карта'!L:L=TRUE())))"),"")</f>
        <v/>
      </c>
      <c r="K4" s="86" t="str">
        <f t="shared" si="1"/>
        <v/>
      </c>
    </row>
    <row r="5">
      <c r="A5" s="80">
        <v>3.0</v>
      </c>
      <c r="B5" s="87" t="s">
        <v>88</v>
      </c>
      <c r="C5" s="87"/>
      <c r="D5" s="88" t="s">
        <v>479</v>
      </c>
      <c r="E5" s="88" t="s">
        <v>480</v>
      </c>
      <c r="F5" s="83"/>
      <c r="G5" s="85"/>
      <c r="H5" s="85"/>
      <c r="I5" s="86">
        <f>IFERROR(__xludf.DUMMYFUNCTION("IF(LEN(B4)&gt;0,IFERROR(SUM(FILTER('Дорожная карта'!E:E,'Дорожная карта'!D:D=B4)),),)"),0.0)</f>
        <v>0</v>
      </c>
      <c r="J5" s="86" t="str">
        <f>IFERROR(__xludf.DUMMYFUNCTION("IFERROR(SUM(FILTER('Дорожная карта'!E:E,'Дорожная карта'!D:D=B4,'Дорожная карта'!L:L=TRUE())))"),"")</f>
        <v/>
      </c>
      <c r="K5" s="86" t="str">
        <f t="shared" si="1"/>
        <v/>
      </c>
    </row>
    <row r="6">
      <c r="A6" s="90">
        <v>4.0</v>
      </c>
      <c r="B6" s="87" t="s">
        <v>100</v>
      </c>
      <c r="C6" s="87"/>
      <c r="D6" s="88" t="s">
        <v>481</v>
      </c>
      <c r="E6" s="88" t="s">
        <v>482</v>
      </c>
      <c r="G6" s="84"/>
      <c r="H6" s="84"/>
      <c r="I6" s="86">
        <f>IFERROR(__xludf.DUMMYFUNCTION("IF(LEN(B5)&gt;0,IFERROR(SUM(FILTER('Дорожная карта'!E:E,'Дорожная карта'!D:D=B5)),),)"),67.0)</f>
        <v>67</v>
      </c>
      <c r="J6" s="86">
        <f>IFERROR(__xludf.DUMMYFUNCTION("IFERROR(SUM(FILTER('Дорожная карта'!E:E,'Дорожная карта'!D:D=B5,'Дорожная карта'!L:L=TRUE())))"),8.0)</f>
        <v>8</v>
      </c>
      <c r="K6" s="86">
        <f t="shared" si="1"/>
        <v>8</v>
      </c>
    </row>
    <row r="7">
      <c r="A7" s="90">
        <v>5.0</v>
      </c>
      <c r="B7" s="87" t="s">
        <v>184</v>
      </c>
      <c r="C7" s="87"/>
      <c r="D7" s="88" t="s">
        <v>481</v>
      </c>
      <c r="E7" s="88" t="s">
        <v>480</v>
      </c>
      <c r="F7" s="91"/>
      <c r="G7" s="85"/>
      <c r="H7" s="85"/>
      <c r="I7" s="86">
        <f>IFERROR(__xludf.DUMMYFUNCTION("IF(LEN(B6)&gt;0,IFERROR(SUM(FILTER('Дорожная карта'!E:E,'Дорожная карта'!D:D=B6)),),)"),12.0)</f>
        <v>12</v>
      </c>
      <c r="J7" s="86">
        <f>IFERROR(__xludf.DUMMYFUNCTION("IFERROR(SUM(FILTER('Дорожная карта'!E:E,'Дорожная карта'!D:D=B6,'Дорожная карта'!L:L=TRUE())))"),11.0)</f>
        <v>11</v>
      </c>
      <c r="K7" s="86">
        <f t="shared" si="1"/>
        <v>11</v>
      </c>
    </row>
    <row r="8">
      <c r="A8" s="80">
        <v>6.0</v>
      </c>
      <c r="B8" s="87" t="s">
        <v>162</v>
      </c>
      <c r="C8" s="87"/>
      <c r="D8" s="88" t="s">
        <v>483</v>
      </c>
      <c r="E8" s="88" t="s">
        <v>480</v>
      </c>
      <c r="F8" s="91"/>
      <c r="G8" s="85"/>
      <c r="H8" s="85"/>
      <c r="I8" s="86">
        <f>IFERROR(__xludf.DUMMYFUNCTION("IF(LEN(B7)&gt;0,IFERROR(SUM(FILTER('Дорожная карта'!E:E,'Дорожная карта'!D:D=B7)),),)"),47.0)</f>
        <v>47</v>
      </c>
      <c r="J8" s="86">
        <f>IFERROR(__xludf.DUMMYFUNCTION("IFERROR(SUM(FILTER('Дорожная карта'!E:E,'Дорожная карта'!D:D=B7,'Дорожная карта'!L:L=TRUE())))"),11.0)</f>
        <v>11</v>
      </c>
      <c r="K8" s="86">
        <f t="shared" si="1"/>
        <v>11</v>
      </c>
    </row>
    <row r="9">
      <c r="A9" s="80">
        <v>7.0</v>
      </c>
      <c r="B9" s="87" t="s">
        <v>110</v>
      </c>
      <c r="C9" s="87"/>
      <c r="D9" s="88" t="s">
        <v>484</v>
      </c>
      <c r="E9" s="88" t="s">
        <v>480</v>
      </c>
      <c r="F9" s="91"/>
      <c r="G9" s="85"/>
      <c r="H9" s="85"/>
      <c r="I9" s="86">
        <f>IFERROR(__xludf.DUMMYFUNCTION("IF(LEN(B8)&gt;0,IFERROR(SUM(FILTER('Дорожная карта'!E:E,'Дорожная карта'!D:D=B8)),),)"),20.0)</f>
        <v>20</v>
      </c>
      <c r="J9" s="86">
        <f>IFERROR(__xludf.DUMMYFUNCTION("IFERROR(SUM(FILTER('Дорожная карта'!E:E,'Дорожная карта'!D:D=B8,'Дорожная карта'!L:L=TRUE())))"),16.0)</f>
        <v>16</v>
      </c>
      <c r="K9" s="86">
        <f t="shared" si="1"/>
        <v>16</v>
      </c>
    </row>
    <row r="10">
      <c r="A10" s="80">
        <v>8.0</v>
      </c>
      <c r="B10" s="87" t="s">
        <v>140</v>
      </c>
      <c r="C10" s="87"/>
      <c r="D10" s="88" t="s">
        <v>485</v>
      </c>
      <c r="E10" s="88" t="s">
        <v>480</v>
      </c>
      <c r="F10" s="91"/>
      <c r="G10" s="85"/>
      <c r="H10" s="85"/>
      <c r="I10" s="86">
        <f>IFERROR(__xludf.DUMMYFUNCTION("IF(LEN(B9)&gt;0,IFERROR(SUM(FILTER('Дорожная карта'!E:E,'Дорожная карта'!D:D=B9)),),)"),0.0)</f>
        <v>0</v>
      </c>
      <c r="J10" s="86">
        <f>IFERROR(__xludf.DUMMYFUNCTION("IFERROR(SUM(FILTER('Дорожная карта'!E:E,'Дорожная карта'!D:D=B9,'Дорожная карта'!L:L=TRUE())))"),0.0)</f>
        <v>0</v>
      </c>
      <c r="K10" s="86" t="str">
        <f t="shared" si="1"/>
        <v/>
      </c>
    </row>
    <row r="11">
      <c r="A11" s="90">
        <v>9.0</v>
      </c>
      <c r="B11" s="87" t="s">
        <v>486</v>
      </c>
      <c r="C11" s="87"/>
      <c r="D11" s="88" t="s">
        <v>487</v>
      </c>
      <c r="E11" s="88" t="s">
        <v>480</v>
      </c>
      <c r="F11" s="91"/>
      <c r="G11" s="85"/>
      <c r="H11" s="85"/>
      <c r="I11" s="86">
        <f>IFERROR(__xludf.DUMMYFUNCTION("IF(LEN(B10)&gt;0,IFERROR(SUM(FILTER('Дорожная карта'!E:E,'Дорожная карта'!D:D=B10)),),)"),8.0)</f>
        <v>8</v>
      </c>
      <c r="J11" s="86">
        <f>IFERROR(__xludf.DUMMYFUNCTION("IFERROR(SUM(FILTER('Дорожная карта'!E:E,'Дорожная карта'!D:D=B10,'Дорожная карта'!L:L=TRUE())))"),0.0)</f>
        <v>0</v>
      </c>
      <c r="K11" s="86" t="str">
        <f t="shared" si="1"/>
        <v/>
      </c>
    </row>
    <row r="12">
      <c r="A12" s="90">
        <v>10.0</v>
      </c>
      <c r="B12" s="87" t="s">
        <v>127</v>
      </c>
      <c r="C12" s="87"/>
      <c r="D12" s="88" t="s">
        <v>481</v>
      </c>
      <c r="E12" s="88" t="s">
        <v>480</v>
      </c>
      <c r="F12" s="91"/>
      <c r="G12" s="85"/>
      <c r="H12" s="85"/>
      <c r="I12" s="86" t="str">
        <f>IFERROR(__xludf.DUMMYFUNCTION("IF(LEN(B11)&gt;0,IFERROR(SUM(FILTER('Дорожная карта'!E:E,'Дорожная карта'!D:D=B11)),),)"),"")</f>
        <v/>
      </c>
      <c r="J12" s="86" t="str">
        <f>IFERROR(__xludf.DUMMYFUNCTION("IFERROR(SUM(FILTER('Дорожная карта'!E:E,'Дорожная карта'!D:D=B11,'Дорожная карта'!L:L=TRUE())))"),"")</f>
        <v/>
      </c>
      <c r="K12" s="86" t="str">
        <f t="shared" si="1"/>
        <v/>
      </c>
    </row>
    <row r="13">
      <c r="A13" s="80">
        <v>11.0</v>
      </c>
      <c r="B13" s="92" t="s">
        <v>82</v>
      </c>
      <c r="C13" s="92"/>
      <c r="D13" s="93" t="s">
        <v>488</v>
      </c>
      <c r="E13" s="94" t="s">
        <v>480</v>
      </c>
      <c r="F13" s="91"/>
      <c r="G13" s="85"/>
      <c r="H13" s="85"/>
      <c r="I13" s="86">
        <f>IFERROR(__xludf.DUMMYFUNCTION("IF(LEN(B12)&gt;0,IFERROR(SUM(FILTER('Дорожная карта'!E:E,'Дорожная карта'!D:D=B12)),),)"),52.0)</f>
        <v>52</v>
      </c>
      <c r="J13" s="86">
        <f>IFERROR(__xludf.DUMMYFUNCTION("IFERROR(SUM(FILTER('Дорожная карта'!E:E,'Дорожная карта'!D:D=B12,'Дорожная карта'!L:L=TRUE())))"),8.0)</f>
        <v>8</v>
      </c>
      <c r="K13" s="86">
        <f t="shared" si="1"/>
        <v>8</v>
      </c>
    </row>
    <row r="14">
      <c r="A14" s="80">
        <v>12.0</v>
      </c>
      <c r="B14" s="95" t="s">
        <v>489</v>
      </c>
      <c r="C14" s="95"/>
      <c r="D14" s="96" t="s">
        <v>490</v>
      </c>
      <c r="E14" s="96" t="s">
        <v>480</v>
      </c>
      <c r="F14" s="91"/>
      <c r="G14" s="85"/>
      <c r="H14" s="85"/>
      <c r="I14" s="86">
        <f>IFERROR(__xludf.DUMMYFUNCTION("IF(LEN(B13)&gt;0,IFERROR(SUM(FILTER('Дорожная карта'!E:E,'Дорожная карта'!D:D=B13)),),)"),0.0)</f>
        <v>0</v>
      </c>
      <c r="J14" s="86">
        <f>IFERROR(__xludf.DUMMYFUNCTION("IFERROR(SUM(FILTER('Дорожная карта'!E:E,'Дорожная карта'!D:D=B13,'Дорожная карта'!L:L=TRUE())))"),0.0)</f>
        <v>0</v>
      </c>
      <c r="K14" s="86" t="str">
        <f t="shared" si="1"/>
        <v/>
      </c>
    </row>
    <row r="15">
      <c r="A15" s="80">
        <v>13.0</v>
      </c>
      <c r="E15" s="97"/>
      <c r="F15" s="91"/>
      <c r="G15" s="85"/>
      <c r="H15" s="85"/>
      <c r="I15" s="86" t="str">
        <f>IFERROR(__xludf.DUMMYFUNCTION("IF(LEN(B14)&gt;0,IFERROR(SUM(FILTER('Дорожная карта'!E:E,'Дорожная карта'!D:D=B14)),),)"),"")</f>
        <v/>
      </c>
      <c r="J15" s="86" t="str">
        <f>IFERROR(__xludf.DUMMYFUNCTION("IFERROR(SUM(FILTER('Дорожная карта'!E:E,'Дорожная карта'!D:D=B14,'Дорожная карта'!L:L=TRUE())))"),"")</f>
        <v/>
      </c>
      <c r="K15" s="86" t="str">
        <f t="shared" si="1"/>
        <v/>
      </c>
    </row>
    <row r="16">
      <c r="A16" s="90">
        <v>14.0</v>
      </c>
      <c r="E16" s="97"/>
      <c r="F16" s="91"/>
      <c r="G16" s="85"/>
      <c r="H16" s="85"/>
      <c r="I16" s="86" t="str">
        <f>IFERROR(__xludf.DUMMYFUNCTION("IF(LEN(B15)&gt;0,IFERROR(SUM(FILTER('Дорожная карта'!E:E,'Дорожная карта'!D:D=B15)),),)"),"")</f>
        <v/>
      </c>
      <c r="J16" s="86" t="str">
        <f>IFERROR(__xludf.DUMMYFUNCTION("IFERROR(SUM(FILTER('Дорожная карта'!E:E,'Дорожная карта'!D:D=B15,'Дорожная карта'!L:L=TRUE())))"),"")</f>
        <v/>
      </c>
      <c r="K16" s="86" t="str">
        <f t="shared" si="1"/>
        <v/>
      </c>
    </row>
    <row r="17">
      <c r="A17" s="90">
        <v>15.0</v>
      </c>
      <c r="E17" s="97"/>
      <c r="F17" s="91"/>
      <c r="G17" s="85"/>
      <c r="H17" s="85"/>
      <c r="I17" s="86" t="str">
        <f>IFERROR(__xludf.DUMMYFUNCTION("IF(LEN(B16)&gt;0,IFERROR(SUM(FILTER('Дорожная карта'!E:E,'Дорожная карта'!D:D=B16)),),)"),"")</f>
        <v/>
      </c>
      <c r="J17" s="86" t="str">
        <f>IFERROR(__xludf.DUMMYFUNCTION("IFERROR(SUM(FILTER('Дорожная карта'!E:E,'Дорожная карта'!D:D=B16,'Дорожная карта'!L:L=TRUE())))"),"")</f>
        <v/>
      </c>
      <c r="K17" s="86" t="str">
        <f t="shared" si="1"/>
        <v/>
      </c>
    </row>
    <row r="18">
      <c r="A18" s="80">
        <v>16.0</v>
      </c>
      <c r="E18" s="97"/>
      <c r="F18" s="91"/>
      <c r="G18" s="85"/>
      <c r="H18" s="85"/>
      <c r="I18" s="86" t="str">
        <f>IFERROR(__xludf.DUMMYFUNCTION("IF(LEN(B17)&gt;0,IFERROR(SUM(FILTER('Дорожная карта'!E:E,'Дорожная карта'!D:D=B17)),),)"),"")</f>
        <v/>
      </c>
      <c r="J18" s="86" t="str">
        <f>IFERROR(__xludf.DUMMYFUNCTION("IFERROR(SUM(FILTER('Дорожная карта'!E:E,'Дорожная карта'!D:D=B17,'Дорожная карта'!L:L=TRUE())))"),"")</f>
        <v/>
      </c>
      <c r="K18" s="86" t="str">
        <f t="shared" si="1"/>
        <v/>
      </c>
    </row>
    <row r="19">
      <c r="A19" s="80">
        <v>17.0</v>
      </c>
      <c r="E19" s="97"/>
      <c r="F19" s="91"/>
      <c r="G19" s="85"/>
      <c r="H19" s="85"/>
      <c r="I19" s="86" t="str">
        <f>IFERROR(__xludf.DUMMYFUNCTION("IF(LEN(B18)&gt;0,IFERROR(SUM(FILTER('Дорожная карта'!E:E,'Дорожная карта'!D:D=B18)),),)"),"")</f>
        <v/>
      </c>
      <c r="J19" s="86" t="str">
        <f>IFERROR(__xludf.DUMMYFUNCTION("IFERROR(SUM(FILTER('Дорожная карта'!E:E,'Дорожная карта'!D:D=B18,'Дорожная карта'!L:L=TRUE())))"),"")</f>
        <v/>
      </c>
      <c r="K19" s="86" t="str">
        <f t="shared" si="1"/>
        <v/>
      </c>
    </row>
    <row r="20">
      <c r="A20" s="80">
        <v>18.0</v>
      </c>
      <c r="E20" s="91"/>
      <c r="F20" s="91"/>
      <c r="G20" s="85"/>
      <c r="H20" s="85"/>
      <c r="I20" s="86" t="str">
        <f>IFERROR(__xludf.DUMMYFUNCTION("IF(LEN(B19)&gt;0,IFERROR(SUM(FILTER('Дорожная карта'!E:E,'Дорожная карта'!D:D=B19)),),)"),"")</f>
        <v/>
      </c>
      <c r="J20" s="86" t="str">
        <f>IFERROR(__xludf.DUMMYFUNCTION("IFERROR(SUM(FILTER('Дорожная карта'!E:E,'Дорожная карта'!D:D=B19,'Дорожная карта'!L:L=TRUE())))"),"")</f>
        <v/>
      </c>
      <c r="K20" s="86" t="str">
        <f t="shared" si="1"/>
        <v/>
      </c>
    </row>
    <row r="21">
      <c r="A21" s="90">
        <v>19.0</v>
      </c>
      <c r="E21" s="91"/>
      <c r="F21" s="91"/>
      <c r="G21" s="85"/>
      <c r="H21" s="85"/>
      <c r="I21" s="86" t="str">
        <f>IFERROR(__xludf.DUMMYFUNCTION("IF(LEN(B21)&gt;0,IFERROR(SUM(FILTER('Дорожная карта'!E:E,'Дорожная карта'!D:D=B21)),),)"),"")</f>
        <v/>
      </c>
      <c r="J21" s="86" t="str">
        <f>IFERROR(__xludf.DUMMYFUNCTION("IFERROR(SUM(FILTER('Дорожная карта'!E:E,'Дорожная карта'!D:D=B21,'Дорожная карта'!L:L=TRUE())))"),"")</f>
        <v/>
      </c>
      <c r="K21" s="86" t="str">
        <f t="shared" si="1"/>
        <v/>
      </c>
    </row>
    <row r="22">
      <c r="A22" s="90">
        <v>20.0</v>
      </c>
      <c r="E22" s="91"/>
      <c r="F22" s="91"/>
      <c r="G22" s="85"/>
      <c r="H22" s="85"/>
      <c r="I22" s="86" t="str">
        <f>IFERROR(__xludf.DUMMYFUNCTION("IF(LEN(B22)&gt;0,IFERROR(SUM(FILTER('Дорожная карта'!E:E,'Дорожная карта'!D:D=B22)),),)"),"")</f>
        <v/>
      </c>
      <c r="J22" s="86" t="str">
        <f>IFERROR(__xludf.DUMMYFUNCTION("IFERROR(SUM(FILTER('Дорожная карта'!E:E,'Дорожная карта'!D:D=B22,'Дорожная карта'!L:L=TRUE())))"),"")</f>
        <v/>
      </c>
      <c r="K22" s="86" t="str">
        <f t="shared" si="1"/>
        <v/>
      </c>
    </row>
    <row r="23">
      <c r="A23" s="80">
        <v>21.0</v>
      </c>
      <c r="E23" s="91"/>
      <c r="F23" s="91"/>
      <c r="G23" s="85"/>
      <c r="H23" s="85"/>
      <c r="I23" s="86" t="str">
        <f>IFERROR(__xludf.DUMMYFUNCTION("IF(LEN(B23)&gt;0,IFERROR(SUM(FILTER('Дорожная карта'!E:E,'Дорожная карта'!D:D=B23)),),)"),"")</f>
        <v/>
      </c>
      <c r="J23" s="86" t="str">
        <f>IFERROR(__xludf.DUMMYFUNCTION("IFERROR(SUM(FILTER('Дорожная карта'!E:E,'Дорожная карта'!D:D=B23,'Дорожная карта'!L:L=TRUE())))"),"")</f>
        <v/>
      </c>
      <c r="K23" s="86" t="str">
        <f t="shared" si="1"/>
        <v/>
      </c>
    </row>
    <row r="24">
      <c r="A24" s="80">
        <v>22.0</v>
      </c>
      <c r="E24" s="91"/>
      <c r="F24" s="91"/>
      <c r="G24" s="85"/>
      <c r="H24" s="85"/>
      <c r="I24" s="86" t="str">
        <f>IFERROR(__xludf.DUMMYFUNCTION("IF(LEN(B24)&gt;0,IFERROR(SUM(FILTER('Дорожная карта'!E:E,'Дорожная карта'!D:D=B24)),),)"),"")</f>
        <v/>
      </c>
      <c r="J24" s="86" t="str">
        <f>IFERROR(__xludf.DUMMYFUNCTION("IFERROR(SUM(FILTER('Дорожная карта'!E:E,'Дорожная карта'!D:D=B24,'Дорожная карта'!L:L=TRUE())))"),"")</f>
        <v/>
      </c>
      <c r="K24" s="86" t="str">
        <f t="shared" si="1"/>
        <v/>
      </c>
    </row>
    <row r="25">
      <c r="A25" s="80">
        <v>23.0</v>
      </c>
      <c r="E25" s="91"/>
      <c r="F25" s="91"/>
      <c r="G25" s="85"/>
      <c r="H25" s="85"/>
      <c r="I25" s="86" t="str">
        <f>IFERROR(__xludf.DUMMYFUNCTION("IF(LEN(B25)&gt;0,IFERROR(SUM(FILTER('Дорожная карта'!E:E,'Дорожная карта'!D:D=B25)),),)"),"")</f>
        <v/>
      </c>
      <c r="J25" s="86" t="str">
        <f>IFERROR(__xludf.DUMMYFUNCTION("IFERROR(SUM(FILTER('Дорожная карта'!E:E,'Дорожная карта'!D:D=B25,'Дорожная карта'!L:L=TRUE())))"),"")</f>
        <v/>
      </c>
      <c r="K25" s="86" t="str">
        <f t="shared" si="1"/>
        <v/>
      </c>
    </row>
    <row r="26">
      <c r="A26" s="90">
        <v>24.0</v>
      </c>
      <c r="E26" s="91"/>
      <c r="F26" s="91"/>
      <c r="G26" s="85"/>
      <c r="H26" s="85"/>
      <c r="I26" s="86" t="str">
        <f>IFERROR(__xludf.DUMMYFUNCTION("IF(LEN(B26)&gt;0,IFERROR(SUM(FILTER('Дорожная карта'!E:E,'Дорожная карта'!D:D=B26)),),)"),"")</f>
        <v/>
      </c>
      <c r="J26" s="86" t="str">
        <f>IFERROR(__xludf.DUMMYFUNCTION("IFERROR(SUM(FILTER('Дорожная карта'!E:E,'Дорожная карта'!D:D=B26,'Дорожная карта'!L:L=TRUE())))"),"")</f>
        <v/>
      </c>
      <c r="K26" s="86" t="str">
        <f t="shared" si="1"/>
        <v/>
      </c>
    </row>
    <row r="27">
      <c r="A27" s="90">
        <v>25.0</v>
      </c>
      <c r="E27" s="91"/>
      <c r="F27" s="91"/>
      <c r="G27" s="85"/>
      <c r="H27" s="85"/>
      <c r="I27" s="86" t="str">
        <f>IFERROR(__xludf.DUMMYFUNCTION("IF(LEN(B27)&gt;0,IFERROR(SUM(FILTER('Дорожная карта'!E:E,'Дорожная карта'!D:D=B27)),),)"),"")</f>
        <v/>
      </c>
      <c r="J27" s="86" t="str">
        <f>IFERROR(__xludf.DUMMYFUNCTION("IFERROR(SUM(FILTER('Дорожная карта'!E:E,'Дорожная карта'!D:D=B27,'Дорожная карта'!L:L=TRUE())))"),"")</f>
        <v/>
      </c>
      <c r="K27" s="86" t="str">
        <f t="shared" si="1"/>
        <v/>
      </c>
    </row>
    <row r="28">
      <c r="A28" s="80">
        <v>26.0</v>
      </c>
      <c r="E28" s="91"/>
      <c r="F28" s="91"/>
      <c r="G28" s="85"/>
      <c r="H28" s="85"/>
      <c r="I28" s="86" t="str">
        <f>IFERROR(__xludf.DUMMYFUNCTION("IF(LEN(B28)&gt;0,IFERROR(SUM(FILTER('Дорожная карта'!E:E,'Дорожная карта'!D:D=B28)),),)"),"")</f>
        <v/>
      </c>
      <c r="J28" s="86" t="str">
        <f>IFERROR(__xludf.DUMMYFUNCTION("IFERROR(SUM(FILTER('Дорожная карта'!E:E,'Дорожная карта'!D:D=B28,'Дорожная карта'!L:L=TRUE())))"),"")</f>
        <v/>
      </c>
      <c r="K28" s="86" t="str">
        <f t="shared" si="1"/>
        <v/>
      </c>
    </row>
    <row r="29">
      <c r="A29" s="80">
        <v>27.0</v>
      </c>
      <c r="D29" s="98"/>
      <c r="E29" s="99"/>
      <c r="F29" s="89"/>
      <c r="G29" s="85"/>
      <c r="H29" s="85"/>
      <c r="I29" s="86" t="str">
        <f>IFERROR(__xludf.DUMMYFUNCTION("IF(LEN(B29)&gt;0,IFERROR(SUM(FILTER('Дорожная карта'!E:E,'Дорожная карта'!D:D=B29)),),)"),"")</f>
        <v/>
      </c>
      <c r="J29" s="86" t="str">
        <f>IFERROR(__xludf.DUMMYFUNCTION("IFERROR(SUM(FILTER('Дорожная карта'!E:E,'Дорожная карта'!D:D=B29,'Дорожная карта'!L:L=TRUE())))"),"")</f>
        <v/>
      </c>
      <c r="K29" s="86" t="str">
        <f t="shared" si="1"/>
        <v/>
      </c>
    </row>
    <row r="30">
      <c r="A30" s="80">
        <v>28.0</v>
      </c>
      <c r="E30" s="99"/>
      <c r="F30" s="83"/>
      <c r="G30" s="100"/>
      <c r="H30" s="100"/>
      <c r="I30" s="86" t="str">
        <f>IFERROR(__xludf.DUMMYFUNCTION("IF(LEN(B30)&gt;0,IFERROR(SUM(FILTER('Дорожная карта'!E:E,'Дорожная карта'!D:D=B30)),),)"),"")</f>
        <v/>
      </c>
      <c r="J30" s="86" t="str">
        <f>IFERROR(__xludf.DUMMYFUNCTION("IFERROR(SUM(FILTER('Дорожная карта'!E:E,'Дорожная карта'!D:D=B30,'Дорожная карта'!L:L=TRUE())))"),"")</f>
        <v/>
      </c>
      <c r="K30" s="86" t="str">
        <f t="shared" si="1"/>
        <v/>
      </c>
    </row>
    <row r="31">
      <c r="A31" s="90">
        <v>29.0</v>
      </c>
      <c r="E31" s="99"/>
      <c r="F31" s="83"/>
      <c r="G31" s="100"/>
      <c r="H31" s="100"/>
      <c r="I31" s="86" t="str">
        <f>IFERROR(__xludf.DUMMYFUNCTION("IF(LEN(B31)&gt;0,IFERROR(SUM(FILTER('Дорожная карта'!E:E,'Дорожная карта'!D:D=B31)),),)"),"")</f>
        <v/>
      </c>
      <c r="J31" s="86" t="str">
        <f>IFERROR(__xludf.DUMMYFUNCTION("IFERROR(SUM(FILTER('Дорожная карта'!E:E,'Дорожная карта'!D:D=B31,'Дорожная карта'!L:L=TRUE())))"),"")</f>
        <v/>
      </c>
      <c r="K31" s="86" t="str">
        <f t="shared" si="1"/>
        <v/>
      </c>
    </row>
    <row r="32">
      <c r="A32" s="90">
        <v>30.0</v>
      </c>
      <c r="E32" s="99"/>
      <c r="F32" s="83"/>
      <c r="G32" s="100"/>
      <c r="H32" s="100"/>
      <c r="I32" s="86" t="str">
        <f>IFERROR(__xludf.DUMMYFUNCTION("IF(LEN(B32)&gt;0,IFERROR(SUM(FILTER('Дорожная карта'!E:E,'Дорожная карта'!D:D=B32)),),)"),"")</f>
        <v/>
      </c>
      <c r="J32" s="86" t="str">
        <f>IFERROR(__xludf.DUMMYFUNCTION("IFERROR(SUM(FILTER('Дорожная карта'!E:E,'Дорожная карта'!D:D=B32,'Дорожная карта'!L:L=TRUE())))"),"")</f>
        <v/>
      </c>
      <c r="K32" s="86" t="str">
        <f t="shared" si="1"/>
        <v/>
      </c>
    </row>
    <row r="33">
      <c r="A33" s="80">
        <v>31.0</v>
      </c>
      <c r="E33" s="99"/>
      <c r="F33" s="83"/>
      <c r="G33" s="100"/>
      <c r="H33" s="100"/>
      <c r="I33" s="86" t="str">
        <f>IFERROR(__xludf.DUMMYFUNCTION("IF(LEN(B33)&gt;0,IFERROR(SUM(FILTER('Дорожная карта'!E:E,'Дорожная карта'!D:D=B33)),),)"),"")</f>
        <v/>
      </c>
      <c r="J33" s="86" t="str">
        <f>IFERROR(__xludf.DUMMYFUNCTION("IFERROR(SUM(FILTER('Дорожная карта'!E:E,'Дорожная карта'!D:D=B33,'Дорожная карта'!L:L=TRUE())))"),"")</f>
        <v/>
      </c>
      <c r="K33" s="86" t="str">
        <f t="shared" si="1"/>
        <v/>
      </c>
    </row>
    <row r="34">
      <c r="A34" s="80">
        <v>32.0</v>
      </c>
      <c r="E34" s="99"/>
      <c r="F34" s="83"/>
      <c r="G34" s="100"/>
      <c r="H34" s="100"/>
      <c r="I34" s="86" t="str">
        <f>IFERROR(__xludf.DUMMYFUNCTION("IF(LEN(B34)&gt;0,IFERROR(SUM(FILTER('Дорожная карта'!E:E,'Дорожная карта'!D:D=B34)),),)"),"")</f>
        <v/>
      </c>
      <c r="J34" s="86" t="str">
        <f>IFERROR(__xludf.DUMMYFUNCTION("IFERROR(SUM(FILTER('Дорожная карта'!E:E,'Дорожная карта'!D:D=B34,'Дорожная карта'!L:L=TRUE())))"),"")</f>
        <v/>
      </c>
      <c r="K34" s="86" t="str">
        <f t="shared" si="1"/>
        <v/>
      </c>
    </row>
    <row r="35">
      <c r="A35" s="80">
        <v>33.0</v>
      </c>
      <c r="E35" s="99"/>
      <c r="F35" s="83"/>
      <c r="G35" s="100"/>
      <c r="H35" s="100"/>
      <c r="I35" s="86" t="str">
        <f>IFERROR(__xludf.DUMMYFUNCTION("IF(LEN(B35)&gt;0,IFERROR(SUM(FILTER('Дорожная карта'!E:E,'Дорожная карта'!D:D=B35)),),)"),"")</f>
        <v/>
      </c>
      <c r="J35" s="86" t="str">
        <f>IFERROR(__xludf.DUMMYFUNCTION("IFERROR(SUM(FILTER('Дорожная карта'!E:E,'Дорожная карта'!D:D=B35,'Дорожная карта'!L:L=TRUE())))"),"")</f>
        <v/>
      </c>
      <c r="K35" s="86" t="str">
        <f t="shared" si="1"/>
        <v/>
      </c>
    </row>
    <row r="36">
      <c r="A36" s="90">
        <v>34.0</v>
      </c>
      <c r="E36" s="99"/>
      <c r="F36" s="83"/>
      <c r="G36" s="100"/>
      <c r="H36" s="100"/>
      <c r="I36" s="86" t="str">
        <f>IFERROR(__xludf.DUMMYFUNCTION("IF(LEN(B36)&gt;0,IFERROR(SUM(FILTER('Дорожная карта'!E:E,'Дорожная карта'!D:D=B36)),),)"),"")</f>
        <v/>
      </c>
      <c r="J36" s="86" t="str">
        <f>IFERROR(__xludf.DUMMYFUNCTION("IFERROR(SUM(FILTER('Дорожная карта'!E:E,'Дорожная карта'!D:D=B36,'Дорожная карта'!L:L=TRUE())))"),"")</f>
        <v/>
      </c>
      <c r="K36" s="86" t="str">
        <f t="shared" si="1"/>
        <v/>
      </c>
    </row>
    <row r="37">
      <c r="A37" s="90">
        <v>35.0</v>
      </c>
      <c r="E37" s="99"/>
      <c r="F37" s="83"/>
      <c r="G37" s="100"/>
      <c r="H37" s="100"/>
      <c r="I37" s="86" t="str">
        <f>IFERROR(__xludf.DUMMYFUNCTION("IF(LEN(B37)&gt;0,IFERROR(SUM(FILTER('Дорожная карта'!E:E,'Дорожная карта'!D:D=B37)),),)"),"")</f>
        <v/>
      </c>
      <c r="J37" s="86" t="str">
        <f>IFERROR(__xludf.DUMMYFUNCTION("IFERROR(SUM(FILTER('Дорожная карта'!E:E,'Дорожная карта'!D:D=B37,'Дорожная карта'!L:L=TRUE())))"),"")</f>
        <v/>
      </c>
      <c r="K37" s="86" t="str">
        <f t="shared" si="1"/>
        <v/>
      </c>
    </row>
    <row r="38">
      <c r="A38" s="80">
        <v>36.0</v>
      </c>
      <c r="B38" s="91"/>
      <c r="C38" s="91"/>
      <c r="D38" s="14"/>
      <c r="E38" s="99"/>
      <c r="F38" s="83"/>
      <c r="G38" s="100"/>
      <c r="H38" s="100"/>
      <c r="I38" s="86" t="str">
        <f>IFERROR(__xludf.DUMMYFUNCTION("IF(LEN(B38)&gt;0,IFERROR(SUM(FILTER('Дорожная карта'!E:E,'Дорожная карта'!D:D=B38)),),)"),"")</f>
        <v/>
      </c>
      <c r="J38" s="86" t="str">
        <f>IFERROR(__xludf.DUMMYFUNCTION("IFERROR(SUM(FILTER('Дорожная карта'!E:E,'Дорожная карта'!D:D=B38,'Дорожная карта'!L:L=TRUE())))"),"")</f>
        <v/>
      </c>
      <c r="K38" s="86" t="str">
        <f t="shared" si="1"/>
        <v/>
      </c>
    </row>
    <row r="39">
      <c r="A39" s="80">
        <v>37.0</v>
      </c>
      <c r="B39" s="91"/>
      <c r="C39" s="91"/>
      <c r="D39" s="14"/>
      <c r="E39" s="99"/>
      <c r="F39" s="83"/>
      <c r="G39" s="100"/>
      <c r="H39" s="100"/>
      <c r="I39" s="86" t="str">
        <f>IFERROR(__xludf.DUMMYFUNCTION("IF(LEN(B39)&gt;0,IFERROR(SUM(FILTER('Дорожная карта'!E:E,'Дорожная карта'!D:D=B39)),),)"),"")</f>
        <v/>
      </c>
      <c r="J39" s="86" t="str">
        <f>IFERROR(__xludf.DUMMYFUNCTION("IFERROR(SUM(FILTER('Дорожная карта'!E:E,'Дорожная карта'!D:D=B39,'Дорожная карта'!L:L=TRUE())))"),"")</f>
        <v/>
      </c>
      <c r="K39" s="86" t="str">
        <f t="shared" si="1"/>
        <v/>
      </c>
    </row>
    <row r="40">
      <c r="A40" s="80">
        <v>38.0</v>
      </c>
      <c r="B40" s="91"/>
      <c r="C40" s="91"/>
      <c r="D40" s="14"/>
      <c r="E40" s="99"/>
      <c r="F40" s="83"/>
      <c r="G40" s="100"/>
      <c r="H40" s="100"/>
      <c r="I40" s="86" t="str">
        <f>IFERROR(__xludf.DUMMYFUNCTION("IF(LEN(B40)&gt;0,IFERROR(SUM(FILTER('Дорожная карта'!E:E,'Дорожная карта'!D:D=B40)),),)"),"")</f>
        <v/>
      </c>
      <c r="J40" s="86" t="str">
        <f>IFERROR(__xludf.DUMMYFUNCTION("IFERROR(SUM(FILTER('Дорожная карта'!E:E,'Дорожная карта'!D:D=B40,'Дорожная карта'!L:L=TRUE())))"),"")</f>
        <v/>
      </c>
      <c r="K40" s="86" t="str">
        <f t="shared" si="1"/>
        <v/>
      </c>
    </row>
    <row r="41">
      <c r="A41" s="90">
        <v>39.0</v>
      </c>
      <c r="B41" s="91"/>
      <c r="C41" s="91"/>
      <c r="D41" s="14"/>
      <c r="E41" s="99"/>
      <c r="F41" s="83"/>
      <c r="G41" s="100"/>
      <c r="H41" s="100"/>
      <c r="I41" s="86" t="str">
        <f>IFERROR(__xludf.DUMMYFUNCTION("IF(LEN(B41)&gt;0,IFERROR(SUM(FILTER('Дорожная карта'!E:E,'Дорожная карта'!D:D=B41)),),)"),"")</f>
        <v/>
      </c>
      <c r="J41" s="86" t="str">
        <f>IFERROR(__xludf.DUMMYFUNCTION("IFERROR(SUM(FILTER('Дорожная карта'!E:E,'Дорожная карта'!D:D=B41,'Дорожная карта'!L:L=TRUE())))"),"")</f>
        <v/>
      </c>
      <c r="K41" s="86" t="str">
        <f t="shared" si="1"/>
        <v/>
      </c>
    </row>
    <row r="42">
      <c r="A42" s="90">
        <v>40.0</v>
      </c>
      <c r="B42" s="91"/>
      <c r="C42" s="91"/>
      <c r="D42" s="14"/>
      <c r="E42" s="99"/>
      <c r="F42" s="83"/>
      <c r="G42" s="100"/>
      <c r="H42" s="100"/>
      <c r="I42" s="86" t="str">
        <f>IFERROR(__xludf.DUMMYFUNCTION("IF(LEN(B42)&gt;0,IFERROR(SUM(FILTER('Дорожная карта'!E:E,'Дорожная карта'!D:D=B42)),),)"),"")</f>
        <v/>
      </c>
      <c r="J42" s="86" t="str">
        <f>IFERROR(__xludf.DUMMYFUNCTION("IFERROR(SUM(FILTER('Дорожная карта'!E:E,'Дорожная карта'!D:D=B42,'Дорожная карта'!L:L=TRUE())))"),"")</f>
        <v/>
      </c>
      <c r="K42" s="86" t="str">
        <f t="shared" si="1"/>
        <v/>
      </c>
    </row>
    <row r="43">
      <c r="A43" s="80">
        <v>41.0</v>
      </c>
      <c r="B43" s="91"/>
      <c r="C43" s="91"/>
      <c r="D43" s="14"/>
      <c r="E43" s="99"/>
      <c r="F43" s="83"/>
      <c r="G43" s="100"/>
      <c r="H43" s="100"/>
      <c r="I43" s="86" t="str">
        <f>IFERROR(__xludf.DUMMYFUNCTION("IF(LEN(B43)&gt;0,IFERROR(SUM(FILTER('Дорожная карта'!E:E,'Дорожная карта'!D:D=B43)),),)"),"")</f>
        <v/>
      </c>
      <c r="J43" s="86" t="str">
        <f>IFERROR(__xludf.DUMMYFUNCTION("IFERROR(SUM(FILTER('Дорожная карта'!E:E,'Дорожная карта'!D:D=B43,'Дорожная карта'!L:L=TRUE())))"),"")</f>
        <v/>
      </c>
      <c r="K43" s="86" t="str">
        <f t="shared" si="1"/>
        <v/>
      </c>
    </row>
    <row r="44">
      <c r="A44" s="80">
        <v>42.0</v>
      </c>
      <c r="B44" s="91"/>
      <c r="C44" s="91"/>
      <c r="D44" s="14"/>
      <c r="E44" s="99"/>
      <c r="F44" s="83"/>
      <c r="G44" s="100"/>
      <c r="H44" s="100"/>
      <c r="I44" s="86" t="str">
        <f>IFERROR(__xludf.DUMMYFUNCTION("IF(LEN(B44)&gt;0,IFERROR(SUM(FILTER('Дорожная карта'!E:E,'Дорожная карта'!D:D=B44)),),)"),"")</f>
        <v/>
      </c>
      <c r="J44" s="86" t="str">
        <f>IFERROR(__xludf.DUMMYFUNCTION("IFERROR(SUM(FILTER('Дорожная карта'!E:E,'Дорожная карта'!D:D=B44,'Дорожная карта'!L:L=TRUE())))"),"")</f>
        <v/>
      </c>
      <c r="K44" s="86" t="str">
        <f t="shared" si="1"/>
        <v/>
      </c>
    </row>
    <row r="45">
      <c r="A45" s="80">
        <v>43.0</v>
      </c>
      <c r="B45" s="91"/>
      <c r="C45" s="91"/>
      <c r="D45" s="14"/>
      <c r="E45" s="99"/>
      <c r="F45" s="83"/>
      <c r="G45" s="100"/>
      <c r="H45" s="100"/>
      <c r="I45" s="86" t="str">
        <f>IFERROR(__xludf.DUMMYFUNCTION("IF(LEN(B45)&gt;0,IFERROR(SUM(FILTER('Дорожная карта'!E:E,'Дорожная карта'!D:D=B45)),),)"),"")</f>
        <v/>
      </c>
      <c r="J45" s="86" t="str">
        <f>IFERROR(__xludf.DUMMYFUNCTION("IFERROR(SUM(FILTER('Дорожная карта'!E:E,'Дорожная карта'!D:D=B45,'Дорожная карта'!L:L=TRUE())))"),"")</f>
        <v/>
      </c>
      <c r="K45" s="86" t="str">
        <f t="shared" si="1"/>
        <v/>
      </c>
    </row>
    <row r="46">
      <c r="A46" s="90">
        <v>44.0</v>
      </c>
      <c r="B46" s="91"/>
      <c r="C46" s="91"/>
      <c r="D46" s="14"/>
      <c r="E46" s="99"/>
      <c r="F46" s="83"/>
      <c r="G46" s="100"/>
      <c r="H46" s="100"/>
      <c r="I46" s="86" t="str">
        <f>IFERROR(__xludf.DUMMYFUNCTION("IF(LEN(B46)&gt;0,IFERROR(SUM(FILTER('Дорожная карта'!E:E,'Дорожная карта'!D:D=B46)),),)"),"")</f>
        <v/>
      </c>
      <c r="J46" s="86" t="str">
        <f>IFERROR(__xludf.DUMMYFUNCTION("IFERROR(SUM(FILTER('Дорожная карта'!E:E,'Дорожная карта'!D:D=B46,'Дорожная карта'!L:L=TRUE())))"),"")</f>
        <v/>
      </c>
      <c r="K46" s="86" t="str">
        <f t="shared" si="1"/>
        <v/>
      </c>
    </row>
    <row r="47">
      <c r="A47" s="90">
        <v>45.0</v>
      </c>
      <c r="B47" s="91"/>
      <c r="C47" s="91"/>
      <c r="D47" s="14"/>
      <c r="E47" s="99"/>
      <c r="F47" s="83"/>
      <c r="G47" s="100"/>
      <c r="H47" s="100"/>
      <c r="I47" s="86" t="str">
        <f>IFERROR(__xludf.DUMMYFUNCTION("IF(LEN(B47)&gt;0,IFERROR(SUM(FILTER('Дорожная карта'!E:E,'Дорожная карта'!D:D=B47)),),)"),"")</f>
        <v/>
      </c>
      <c r="J47" s="86" t="str">
        <f>IFERROR(__xludf.DUMMYFUNCTION("IFERROR(SUM(FILTER('Дорожная карта'!E:E,'Дорожная карта'!D:D=B47,'Дорожная карта'!L:L=TRUE())))"),"")</f>
        <v/>
      </c>
      <c r="K47" s="86" t="str">
        <f t="shared" si="1"/>
        <v/>
      </c>
    </row>
    <row r="48">
      <c r="A48" s="80">
        <v>46.0</v>
      </c>
      <c r="B48" s="91"/>
      <c r="C48" s="91"/>
      <c r="D48" s="14"/>
      <c r="E48" s="99"/>
      <c r="F48" s="83"/>
      <c r="G48" s="100"/>
      <c r="H48" s="100"/>
      <c r="I48" s="86" t="str">
        <f>IFERROR(__xludf.DUMMYFUNCTION("IF(LEN(B48)&gt;0,IFERROR(SUM(FILTER('Дорожная карта'!E:E,'Дорожная карта'!D:D=B48)),),)"),"")</f>
        <v/>
      </c>
      <c r="J48" s="86" t="str">
        <f>IFERROR(__xludf.DUMMYFUNCTION("IFERROR(SUM(FILTER('Дорожная карта'!E:E,'Дорожная карта'!D:D=B48,'Дорожная карта'!L:L=TRUE())))"),"")</f>
        <v/>
      </c>
      <c r="K48" s="86" t="str">
        <f t="shared" si="1"/>
        <v/>
      </c>
    </row>
    <row r="49">
      <c r="A49" s="80">
        <v>47.0</v>
      </c>
      <c r="B49" s="91"/>
      <c r="C49" s="91"/>
      <c r="D49" s="14"/>
      <c r="E49" s="99"/>
      <c r="F49" s="83"/>
      <c r="G49" s="100"/>
      <c r="H49" s="100"/>
      <c r="I49" s="86" t="str">
        <f>IFERROR(__xludf.DUMMYFUNCTION("IF(LEN(B49)&gt;0,IFERROR(SUM(FILTER('Дорожная карта'!E:E,'Дорожная карта'!D:D=B49)),),)"),"")</f>
        <v/>
      </c>
      <c r="J49" s="86" t="str">
        <f>IFERROR(__xludf.DUMMYFUNCTION("IFERROR(SUM(FILTER('Дорожная карта'!E:E,'Дорожная карта'!D:D=B49,'Дорожная карта'!L:L=TRUE())))"),"")</f>
        <v/>
      </c>
      <c r="K49" s="86" t="str">
        <f t="shared" si="1"/>
        <v/>
      </c>
    </row>
    <row r="50">
      <c r="A50" s="80">
        <v>48.0</v>
      </c>
      <c r="B50" s="91"/>
      <c r="C50" s="91"/>
      <c r="D50" s="14"/>
      <c r="E50" s="99"/>
      <c r="F50" s="83"/>
      <c r="G50" s="100"/>
      <c r="H50" s="100"/>
      <c r="I50" s="86" t="str">
        <f>IFERROR(__xludf.DUMMYFUNCTION("IF(LEN(B50)&gt;0,IFERROR(SUM(FILTER('Дорожная карта'!E:E,'Дорожная карта'!D:D=B50)),),)"),"")</f>
        <v/>
      </c>
      <c r="J50" s="86" t="str">
        <f>IFERROR(__xludf.DUMMYFUNCTION("IFERROR(SUM(FILTER('Дорожная карта'!E:E,'Дорожная карта'!D:D=B50,'Дорожная карта'!L:L=TRUE())))"),"")</f>
        <v/>
      </c>
      <c r="K50" s="86" t="str">
        <f t="shared" si="1"/>
        <v/>
      </c>
    </row>
    <row r="51">
      <c r="A51" s="90">
        <v>49.0</v>
      </c>
      <c r="B51" s="91"/>
      <c r="C51" s="91"/>
      <c r="D51" s="14"/>
      <c r="E51" s="99"/>
      <c r="F51" s="83"/>
      <c r="G51" s="100"/>
      <c r="H51" s="100"/>
      <c r="I51" s="86" t="str">
        <f>IFERROR(__xludf.DUMMYFUNCTION("IF(LEN(B51)&gt;0,IFERROR(SUM(FILTER('Дорожная карта'!E:E,'Дорожная карта'!D:D=B51)),),)"),"")</f>
        <v/>
      </c>
      <c r="J51" s="86" t="str">
        <f>IFERROR(__xludf.DUMMYFUNCTION("IFERROR(SUM(FILTER('Дорожная карта'!E:E,'Дорожная карта'!D:D=B51,'Дорожная карта'!L:L=TRUE())))"),"")</f>
        <v/>
      </c>
      <c r="K51" s="86" t="str">
        <f t="shared" si="1"/>
        <v/>
      </c>
    </row>
    <row r="52">
      <c r="A52" s="90">
        <v>50.0</v>
      </c>
      <c r="B52" s="91"/>
      <c r="C52" s="91"/>
      <c r="D52" s="14"/>
      <c r="E52" s="99"/>
      <c r="F52" s="83"/>
      <c r="G52" s="100"/>
      <c r="H52" s="100"/>
      <c r="I52" s="86" t="str">
        <f>IFERROR(__xludf.DUMMYFUNCTION("IF(LEN(B52)&gt;0,IFERROR(SUM(FILTER('Дорожная карта'!E:E,'Дорожная карта'!D:D=B52)),),)"),"")</f>
        <v/>
      </c>
      <c r="J52" s="86" t="str">
        <f>IFERROR(__xludf.DUMMYFUNCTION("IFERROR(SUM(FILTER('Дорожная карта'!E:E,'Дорожная карта'!D:D=B52,'Дорожная карта'!L:L=TRUE())))"),"")</f>
        <v/>
      </c>
      <c r="K52" s="86" t="str">
        <f t="shared" si="1"/>
        <v/>
      </c>
    </row>
    <row r="53">
      <c r="A53" s="80">
        <v>51.0</v>
      </c>
      <c r="B53" s="91"/>
      <c r="C53" s="91"/>
      <c r="D53" s="14"/>
      <c r="E53" s="99"/>
      <c r="F53" s="83"/>
      <c r="G53" s="100"/>
      <c r="H53" s="100"/>
      <c r="I53" s="86" t="str">
        <f>IFERROR(__xludf.DUMMYFUNCTION("IF(LEN(B53)&gt;0,IFERROR(SUM(FILTER('Дорожная карта'!E:E,'Дорожная карта'!D:D=B53)),),)"),"")</f>
        <v/>
      </c>
      <c r="J53" s="86" t="str">
        <f>IFERROR(__xludf.DUMMYFUNCTION("IFERROR(SUM(FILTER('Дорожная карта'!E:E,'Дорожная карта'!D:D=B53,'Дорожная карта'!L:L=TRUE())))"),"")</f>
        <v/>
      </c>
      <c r="K53" s="86" t="str">
        <f t="shared" si="1"/>
        <v/>
      </c>
    </row>
    <row r="54">
      <c r="A54" s="80">
        <v>52.0</v>
      </c>
      <c r="B54" s="91"/>
      <c r="C54" s="91"/>
      <c r="D54" s="14"/>
      <c r="E54" s="99"/>
      <c r="F54" s="83"/>
      <c r="G54" s="100"/>
      <c r="H54" s="100"/>
      <c r="I54" s="86" t="str">
        <f>IFERROR(__xludf.DUMMYFUNCTION("IF(LEN(B54)&gt;0,IFERROR(SUM(FILTER('Дорожная карта'!E:E,'Дорожная карта'!D:D=B54)),),)"),"")</f>
        <v/>
      </c>
      <c r="J54" s="86" t="str">
        <f>IFERROR(__xludf.DUMMYFUNCTION("IFERROR(SUM(FILTER('Дорожная карта'!E:E,'Дорожная карта'!D:D=B54,'Дорожная карта'!L:L=TRUE())))"),"")</f>
        <v/>
      </c>
      <c r="K54" s="86" t="str">
        <f t="shared" si="1"/>
        <v/>
      </c>
    </row>
    <row r="55">
      <c r="A55" s="80">
        <v>53.0</v>
      </c>
      <c r="B55" s="91"/>
      <c r="C55" s="91"/>
      <c r="D55" s="14"/>
      <c r="E55" s="99"/>
      <c r="F55" s="83"/>
      <c r="G55" s="100"/>
      <c r="H55" s="100"/>
      <c r="I55" s="86" t="str">
        <f>IFERROR(__xludf.DUMMYFUNCTION("IF(LEN(B55)&gt;0,IFERROR(SUM(FILTER('Дорожная карта'!E:E,'Дорожная карта'!D:D=B55)),),)"),"")</f>
        <v/>
      </c>
      <c r="J55" s="86" t="str">
        <f>IFERROR(__xludf.DUMMYFUNCTION("IFERROR(SUM(FILTER('Дорожная карта'!E:E,'Дорожная карта'!D:D=B55,'Дорожная карта'!L:L=TRUE())))"),"")</f>
        <v/>
      </c>
      <c r="K55" s="86" t="str">
        <f t="shared" si="1"/>
        <v/>
      </c>
    </row>
    <row r="56">
      <c r="A56" s="90">
        <v>54.0</v>
      </c>
      <c r="B56" s="91"/>
      <c r="C56" s="91"/>
      <c r="D56" s="14"/>
      <c r="E56" s="99"/>
      <c r="F56" s="83"/>
      <c r="G56" s="100"/>
      <c r="H56" s="100"/>
      <c r="I56" s="86" t="str">
        <f>IFERROR(__xludf.DUMMYFUNCTION("IF(LEN(B56)&gt;0,IFERROR(SUM(FILTER('Дорожная карта'!E:E,'Дорожная карта'!D:D=B56)),),)"),"")</f>
        <v/>
      </c>
      <c r="J56" s="86" t="str">
        <f>IFERROR(__xludf.DUMMYFUNCTION("IFERROR(SUM(FILTER('Дорожная карта'!E:E,'Дорожная карта'!D:D=B56,'Дорожная карта'!L:L=TRUE())))"),"")</f>
        <v/>
      </c>
      <c r="K56" s="86" t="str">
        <f t="shared" si="1"/>
        <v/>
      </c>
    </row>
    <row r="57">
      <c r="A57" s="90">
        <v>55.0</v>
      </c>
      <c r="B57" s="91"/>
      <c r="C57" s="91"/>
      <c r="D57" s="14"/>
      <c r="E57" s="99"/>
      <c r="F57" s="83"/>
      <c r="G57" s="100"/>
      <c r="H57" s="100"/>
      <c r="I57" s="86" t="str">
        <f>IFERROR(__xludf.DUMMYFUNCTION("IF(LEN(B57)&gt;0,IFERROR(SUM(FILTER('Дорожная карта'!E:E,'Дорожная карта'!D:D=B57)),),)"),"")</f>
        <v/>
      </c>
      <c r="J57" s="86" t="str">
        <f>IFERROR(__xludf.DUMMYFUNCTION("IFERROR(SUM(FILTER('Дорожная карта'!E:E,'Дорожная карта'!D:D=B57,'Дорожная карта'!L:L=TRUE())))"),"")</f>
        <v/>
      </c>
      <c r="K57" s="86" t="str">
        <f t="shared" si="1"/>
        <v/>
      </c>
    </row>
    <row r="58">
      <c r="A58" s="80">
        <v>56.0</v>
      </c>
      <c r="B58" s="91"/>
      <c r="C58" s="91"/>
      <c r="D58" s="14"/>
      <c r="E58" s="99"/>
      <c r="F58" s="83"/>
      <c r="G58" s="100"/>
      <c r="H58" s="100"/>
      <c r="I58" s="86" t="str">
        <f>IFERROR(__xludf.DUMMYFUNCTION("IF(LEN(B58)&gt;0,IFERROR(SUM(FILTER('Дорожная карта'!E:E,'Дорожная карта'!D:D=B58)),),)"),"")</f>
        <v/>
      </c>
      <c r="J58" s="86" t="str">
        <f>IFERROR(__xludf.DUMMYFUNCTION("IFERROR(SUM(FILTER('Дорожная карта'!E:E,'Дорожная карта'!D:D=B58,'Дорожная карта'!L:L=TRUE())))"),"")</f>
        <v/>
      </c>
      <c r="K58" s="86" t="str">
        <f t="shared" si="1"/>
        <v/>
      </c>
    </row>
    <row r="59">
      <c r="A59" s="80">
        <v>57.0</v>
      </c>
      <c r="B59" s="91"/>
      <c r="C59" s="91"/>
      <c r="D59" s="14"/>
      <c r="E59" s="99"/>
      <c r="F59" s="83"/>
      <c r="G59" s="100"/>
      <c r="H59" s="100"/>
      <c r="I59" s="86" t="str">
        <f>IFERROR(__xludf.DUMMYFUNCTION("IF(LEN(B59)&gt;0,IFERROR(SUM(FILTER('Дорожная карта'!E:E,'Дорожная карта'!D:D=B59)),),)"),"")</f>
        <v/>
      </c>
      <c r="J59" s="86" t="str">
        <f>IFERROR(__xludf.DUMMYFUNCTION("IFERROR(SUM(FILTER('Дорожная карта'!E:E,'Дорожная карта'!D:D=B59,'Дорожная карта'!L:L=TRUE())))"),"")</f>
        <v/>
      </c>
      <c r="K59" s="86" t="str">
        <f t="shared" si="1"/>
        <v/>
      </c>
    </row>
    <row r="60">
      <c r="A60" s="80">
        <v>58.0</v>
      </c>
      <c r="B60" s="91"/>
      <c r="C60" s="91"/>
      <c r="D60" s="14"/>
      <c r="E60" s="99"/>
      <c r="F60" s="83"/>
      <c r="G60" s="100"/>
      <c r="H60" s="100"/>
      <c r="I60" s="86" t="str">
        <f>IFERROR(__xludf.DUMMYFUNCTION("IF(LEN(B60)&gt;0,IFERROR(SUM(FILTER('Дорожная карта'!E:E,'Дорожная карта'!D:D=B60)),),)"),"")</f>
        <v/>
      </c>
      <c r="J60" s="86" t="str">
        <f>IFERROR(__xludf.DUMMYFUNCTION("IFERROR(SUM(FILTER('Дорожная карта'!E:E,'Дорожная карта'!D:D=B60,'Дорожная карта'!L:L=TRUE())))"),"")</f>
        <v/>
      </c>
      <c r="K60" s="86" t="str">
        <f t="shared" si="1"/>
        <v/>
      </c>
    </row>
    <row r="61">
      <c r="A61" s="90">
        <v>59.0</v>
      </c>
      <c r="B61" s="91"/>
      <c r="C61" s="91"/>
      <c r="D61" s="14"/>
      <c r="E61" s="99"/>
      <c r="F61" s="83"/>
      <c r="G61" s="100"/>
      <c r="H61" s="100"/>
      <c r="I61" s="86" t="str">
        <f>IFERROR(__xludf.DUMMYFUNCTION("IF(LEN(B61)&gt;0,IFERROR(SUM(FILTER('Дорожная карта'!E:E,'Дорожная карта'!D:D=B61)),),)"),"")</f>
        <v/>
      </c>
      <c r="J61" s="86" t="str">
        <f>IFERROR(__xludf.DUMMYFUNCTION("IFERROR(SUM(FILTER('Дорожная карта'!E:E,'Дорожная карта'!D:D=B61,'Дорожная карта'!L:L=TRUE())))"),"")</f>
        <v/>
      </c>
      <c r="K61" s="86" t="str">
        <f t="shared" si="1"/>
        <v/>
      </c>
    </row>
    <row r="62">
      <c r="A62" s="90">
        <v>60.0</v>
      </c>
      <c r="B62" s="91"/>
      <c r="C62" s="91"/>
      <c r="D62" s="14"/>
      <c r="E62" s="99"/>
      <c r="F62" s="83"/>
      <c r="G62" s="100"/>
      <c r="H62" s="100"/>
      <c r="I62" s="86" t="str">
        <f>IFERROR(__xludf.DUMMYFUNCTION("IF(LEN(B62)&gt;0,IFERROR(SUM(FILTER('Дорожная карта'!E:E,'Дорожная карта'!D:D=B62)),),)"),"")</f>
        <v/>
      </c>
      <c r="J62" s="86" t="str">
        <f>IFERROR(__xludf.DUMMYFUNCTION("IFERROR(SUM(FILTER('Дорожная карта'!E:E,'Дорожная карта'!D:D=B62,'Дорожная карта'!L:L=TRUE())))"),"")</f>
        <v/>
      </c>
      <c r="K62" s="86" t="str">
        <f t="shared" si="1"/>
        <v/>
      </c>
    </row>
    <row r="63">
      <c r="A63" s="80">
        <v>61.0</v>
      </c>
      <c r="B63" s="91"/>
      <c r="C63" s="91"/>
      <c r="D63" s="14"/>
      <c r="E63" s="99"/>
      <c r="F63" s="83"/>
      <c r="G63" s="100"/>
      <c r="H63" s="100"/>
      <c r="I63" s="86" t="str">
        <f>IFERROR(__xludf.DUMMYFUNCTION("IF(LEN(B63)&gt;0,IFERROR(SUM(FILTER('Дорожная карта'!E:E,'Дорожная карта'!D:D=B63)),),)"),"")</f>
        <v/>
      </c>
      <c r="J63" s="86" t="str">
        <f>IFERROR(__xludf.DUMMYFUNCTION("IFERROR(SUM(FILTER('Дорожная карта'!E:E,'Дорожная карта'!D:D=B63,'Дорожная карта'!L:L=TRUE())))"),"")</f>
        <v/>
      </c>
      <c r="K63" s="86" t="str">
        <f t="shared" si="1"/>
        <v/>
      </c>
    </row>
    <row r="64">
      <c r="A64" s="80">
        <v>62.0</v>
      </c>
      <c r="B64" s="91"/>
      <c r="C64" s="91"/>
      <c r="D64" s="14"/>
      <c r="E64" s="99"/>
      <c r="F64" s="83"/>
      <c r="G64" s="100"/>
      <c r="H64" s="100"/>
      <c r="I64" s="86" t="str">
        <f>IFERROR(__xludf.DUMMYFUNCTION("IF(LEN(B64)&gt;0,IFERROR(SUM(FILTER('Дорожная карта'!E:E,'Дорожная карта'!D:D=B64)),),)"),"")</f>
        <v/>
      </c>
      <c r="J64" s="86" t="str">
        <f>IFERROR(__xludf.DUMMYFUNCTION("IFERROR(SUM(FILTER('Дорожная карта'!E:E,'Дорожная карта'!D:D=B64,'Дорожная карта'!L:L=TRUE())))"),"")</f>
        <v/>
      </c>
      <c r="K64" s="86" t="str">
        <f t="shared" si="1"/>
        <v/>
      </c>
    </row>
    <row r="65">
      <c r="A65" s="80">
        <v>63.0</v>
      </c>
      <c r="B65" s="91"/>
      <c r="C65" s="91"/>
      <c r="D65" s="14"/>
      <c r="E65" s="99"/>
      <c r="F65" s="83"/>
      <c r="G65" s="100"/>
      <c r="H65" s="100"/>
      <c r="I65" s="86" t="str">
        <f>IFERROR(__xludf.DUMMYFUNCTION("IF(LEN(B65)&gt;0,IFERROR(SUM(FILTER('Дорожная карта'!E:E,'Дорожная карта'!D:D=B65)),),)"),"")</f>
        <v/>
      </c>
      <c r="J65" s="86" t="str">
        <f>IFERROR(__xludf.DUMMYFUNCTION("IFERROR(SUM(FILTER('Дорожная карта'!E:E,'Дорожная карта'!D:D=B65,'Дорожная карта'!L:L=TRUE())))"),"")</f>
        <v/>
      </c>
      <c r="K65" s="86" t="str">
        <f t="shared" si="1"/>
        <v/>
      </c>
    </row>
    <row r="66">
      <c r="A66" s="90">
        <v>64.0</v>
      </c>
      <c r="B66" s="91"/>
      <c r="C66" s="91"/>
      <c r="D66" s="14"/>
      <c r="E66" s="99"/>
      <c r="F66" s="83"/>
      <c r="G66" s="100"/>
      <c r="H66" s="100"/>
      <c r="I66" s="86" t="str">
        <f>IFERROR(__xludf.DUMMYFUNCTION("IF(LEN(B66)&gt;0,IFERROR(SUM(FILTER('Дорожная карта'!E:E,'Дорожная карта'!D:D=B66)),),)"),"")</f>
        <v/>
      </c>
      <c r="J66" s="86" t="str">
        <f>IFERROR(__xludf.DUMMYFUNCTION("IFERROR(SUM(FILTER('Дорожная карта'!E:E,'Дорожная карта'!D:D=B66,'Дорожная карта'!L:L=TRUE())))"),"")</f>
        <v/>
      </c>
      <c r="K66" s="86" t="str">
        <f t="shared" si="1"/>
        <v/>
      </c>
    </row>
    <row r="67">
      <c r="A67" s="90">
        <v>65.0</v>
      </c>
      <c r="B67" s="91"/>
      <c r="C67" s="91"/>
      <c r="D67" s="14"/>
      <c r="E67" s="99"/>
      <c r="F67" s="83"/>
      <c r="G67" s="100"/>
      <c r="H67" s="100"/>
      <c r="I67" s="86" t="str">
        <f>IFERROR(__xludf.DUMMYFUNCTION("IF(LEN(B67)&gt;0,IFERROR(SUM(FILTER('Дорожная карта'!E:E,'Дорожная карта'!D:D=B67)),),)"),"")</f>
        <v/>
      </c>
      <c r="J67" s="86" t="str">
        <f>IFERROR(__xludf.DUMMYFUNCTION("IFERROR(SUM(FILTER('Дорожная карта'!E:E,'Дорожная карта'!D:D=B67,'Дорожная карта'!L:L=TRUE())))"),"")</f>
        <v/>
      </c>
      <c r="K67" s="86" t="str">
        <f t="shared" si="1"/>
        <v/>
      </c>
    </row>
    <row r="68">
      <c r="A68" s="80">
        <v>66.0</v>
      </c>
      <c r="B68" s="91"/>
      <c r="C68" s="91"/>
      <c r="D68" s="14"/>
      <c r="E68" s="99"/>
      <c r="F68" s="83"/>
      <c r="G68" s="100"/>
      <c r="H68" s="100"/>
      <c r="I68" s="86" t="str">
        <f>IFERROR(__xludf.DUMMYFUNCTION("IF(LEN(B68)&gt;0,IFERROR(SUM(FILTER('Дорожная карта'!E:E,'Дорожная карта'!D:D=B68)),),)"),"")</f>
        <v/>
      </c>
      <c r="J68" s="86" t="str">
        <f>IFERROR(__xludf.DUMMYFUNCTION("IFERROR(SUM(FILTER('Дорожная карта'!E:E,'Дорожная карта'!D:D=B68,'Дорожная карта'!L:L=TRUE())))"),"")</f>
        <v/>
      </c>
      <c r="K68" s="86" t="str">
        <f t="shared" si="1"/>
        <v/>
      </c>
    </row>
    <row r="69">
      <c r="A69" s="80">
        <v>67.0</v>
      </c>
      <c r="B69" s="91"/>
      <c r="C69" s="91"/>
      <c r="D69" s="14"/>
      <c r="E69" s="99"/>
      <c r="F69" s="83"/>
      <c r="G69" s="100"/>
      <c r="H69" s="100"/>
      <c r="I69" s="86" t="str">
        <f>IFERROR(__xludf.DUMMYFUNCTION("IF(LEN(B69)&gt;0,IFERROR(SUM(FILTER('Дорожная карта'!E:E,'Дорожная карта'!D:D=B69)),),)"),"")</f>
        <v/>
      </c>
      <c r="J69" s="86" t="str">
        <f>IFERROR(__xludf.DUMMYFUNCTION("IFERROR(SUM(FILTER('Дорожная карта'!E:E,'Дорожная карта'!D:D=B69,'Дорожная карта'!L:L=TRUE())))"),"")</f>
        <v/>
      </c>
      <c r="K69" s="86" t="str">
        <f t="shared" si="1"/>
        <v/>
      </c>
    </row>
    <row r="70">
      <c r="A70" s="80">
        <v>68.0</v>
      </c>
      <c r="B70" s="91"/>
      <c r="C70" s="91"/>
      <c r="D70" s="14"/>
      <c r="E70" s="99"/>
      <c r="F70" s="83"/>
      <c r="G70" s="100"/>
      <c r="H70" s="100"/>
      <c r="I70" s="86" t="str">
        <f>IFERROR(__xludf.DUMMYFUNCTION("IF(LEN(B70)&gt;0,IFERROR(SUM(FILTER('Дорожная карта'!E:E,'Дорожная карта'!D:D=B70)),),)"),"")</f>
        <v/>
      </c>
      <c r="J70" s="86" t="str">
        <f>IFERROR(__xludf.DUMMYFUNCTION("IFERROR(SUM(FILTER('Дорожная карта'!E:E,'Дорожная карта'!D:D=B70,'Дорожная карта'!L:L=TRUE())))"),"")</f>
        <v/>
      </c>
      <c r="K70" s="86" t="str">
        <f t="shared" si="1"/>
        <v/>
      </c>
    </row>
    <row r="71">
      <c r="A71" s="90">
        <v>69.0</v>
      </c>
      <c r="B71" s="91"/>
      <c r="C71" s="91"/>
      <c r="D71" s="14"/>
      <c r="E71" s="99"/>
      <c r="F71" s="83"/>
      <c r="G71" s="100"/>
      <c r="H71" s="100"/>
      <c r="I71" s="86" t="str">
        <f>IFERROR(__xludf.DUMMYFUNCTION("IF(LEN(B71)&gt;0,IFERROR(SUM(FILTER('Дорожная карта'!E:E,'Дорожная карта'!D:D=B71)),),)"),"")</f>
        <v/>
      </c>
      <c r="J71" s="86" t="str">
        <f>IFERROR(__xludf.DUMMYFUNCTION("IFERROR(SUM(FILTER('Дорожная карта'!E:E,'Дорожная карта'!D:D=B71,'Дорожная карта'!L:L=TRUE())))"),"")</f>
        <v/>
      </c>
      <c r="K71" s="86" t="str">
        <f t="shared" si="1"/>
        <v/>
      </c>
    </row>
    <row r="72">
      <c r="A72" s="90">
        <v>70.0</v>
      </c>
      <c r="B72" s="91"/>
      <c r="C72" s="91"/>
      <c r="D72" s="14"/>
      <c r="E72" s="99"/>
      <c r="F72" s="83"/>
      <c r="G72" s="100"/>
      <c r="H72" s="100"/>
      <c r="I72" s="86" t="str">
        <f>IFERROR(__xludf.DUMMYFUNCTION("IF(LEN(B72)&gt;0,IFERROR(SUM(FILTER('Дорожная карта'!E:E,'Дорожная карта'!D:D=B72)),),)"),"")</f>
        <v/>
      </c>
      <c r="J72" s="86" t="str">
        <f>IFERROR(__xludf.DUMMYFUNCTION("IFERROR(SUM(FILTER('Дорожная карта'!E:E,'Дорожная карта'!D:D=B72,'Дорожная карта'!L:L=TRUE())))"),"")</f>
        <v/>
      </c>
      <c r="K72" s="86" t="str">
        <f t="shared" si="1"/>
        <v/>
      </c>
    </row>
    <row r="73">
      <c r="A73" s="80">
        <v>71.0</v>
      </c>
      <c r="B73" s="91"/>
      <c r="C73" s="91"/>
      <c r="D73" s="14"/>
      <c r="E73" s="99"/>
      <c r="F73" s="83"/>
      <c r="G73" s="100"/>
      <c r="H73" s="100"/>
      <c r="I73" s="86" t="str">
        <f>IFERROR(__xludf.DUMMYFUNCTION("IF(LEN(B73)&gt;0,IFERROR(SUM(FILTER('Дорожная карта'!E:E,'Дорожная карта'!D:D=B73)),),)"),"")</f>
        <v/>
      </c>
      <c r="J73" s="86" t="str">
        <f>IFERROR(__xludf.DUMMYFUNCTION("IFERROR(SUM(FILTER('Дорожная карта'!E:E,'Дорожная карта'!D:D=B73,'Дорожная карта'!L:L=TRUE())))"),"")</f>
        <v/>
      </c>
      <c r="K73" s="86" t="str">
        <f t="shared" si="1"/>
        <v/>
      </c>
    </row>
    <row r="74">
      <c r="A74" s="80">
        <v>72.0</v>
      </c>
      <c r="B74" s="91"/>
      <c r="C74" s="91"/>
      <c r="D74" s="14"/>
      <c r="E74" s="99"/>
      <c r="F74" s="83"/>
      <c r="G74" s="100"/>
      <c r="H74" s="100"/>
      <c r="I74" s="86" t="str">
        <f>IFERROR(__xludf.DUMMYFUNCTION("IF(LEN(B74)&gt;0,IFERROR(SUM(FILTER('Дорожная карта'!E:E,'Дорожная карта'!D:D=B74)),),)"),"")</f>
        <v/>
      </c>
      <c r="J74" s="86" t="str">
        <f>IFERROR(__xludf.DUMMYFUNCTION("IFERROR(SUM(FILTER('Дорожная карта'!E:E,'Дорожная карта'!D:D=B74,'Дорожная карта'!L:L=TRUE())))"),"")</f>
        <v/>
      </c>
      <c r="K74" s="86" t="str">
        <f t="shared" si="1"/>
        <v/>
      </c>
    </row>
    <row r="75">
      <c r="A75" s="80">
        <v>73.0</v>
      </c>
      <c r="B75" s="91"/>
      <c r="C75" s="91"/>
      <c r="D75" s="14"/>
      <c r="E75" s="99"/>
      <c r="F75" s="83"/>
      <c r="G75" s="100"/>
      <c r="H75" s="100"/>
      <c r="I75" s="86" t="str">
        <f>IFERROR(__xludf.DUMMYFUNCTION("IF(LEN(B75)&gt;0,IFERROR(SUM(FILTER('Дорожная карта'!E:E,'Дорожная карта'!D:D=B75)),),)"),"")</f>
        <v/>
      </c>
      <c r="J75" s="86" t="str">
        <f>IFERROR(__xludf.DUMMYFUNCTION("IFERROR(SUM(FILTER('Дорожная карта'!E:E,'Дорожная карта'!D:D=B75,'Дорожная карта'!L:L=TRUE())))"),"")</f>
        <v/>
      </c>
      <c r="K75" s="86" t="str">
        <f t="shared" si="1"/>
        <v/>
      </c>
    </row>
    <row r="76">
      <c r="A76" s="90">
        <v>74.0</v>
      </c>
      <c r="B76" s="91"/>
      <c r="C76" s="91"/>
      <c r="D76" s="14"/>
      <c r="E76" s="99"/>
      <c r="F76" s="83"/>
      <c r="G76" s="100"/>
      <c r="H76" s="100"/>
      <c r="I76" s="86" t="str">
        <f>IFERROR(__xludf.DUMMYFUNCTION("IF(LEN(B76)&gt;0,IFERROR(SUM(FILTER('Дорожная карта'!E:E,'Дорожная карта'!D:D=B76)),),)"),"")</f>
        <v/>
      </c>
      <c r="J76" s="86" t="str">
        <f>IFERROR(__xludf.DUMMYFUNCTION("IFERROR(SUM(FILTER('Дорожная карта'!E:E,'Дорожная карта'!D:D=B76,'Дорожная карта'!L:L=TRUE())))"),"")</f>
        <v/>
      </c>
      <c r="K76" s="86" t="str">
        <f t="shared" si="1"/>
        <v/>
      </c>
    </row>
    <row r="77">
      <c r="A77" s="90">
        <v>75.0</v>
      </c>
      <c r="B77" s="91"/>
      <c r="C77" s="91"/>
      <c r="D77" s="14"/>
      <c r="E77" s="99"/>
      <c r="F77" s="83"/>
      <c r="G77" s="100"/>
      <c r="H77" s="100"/>
      <c r="I77" s="86" t="str">
        <f>IFERROR(__xludf.DUMMYFUNCTION("IF(LEN(B77)&gt;0,IFERROR(SUM(FILTER('Дорожная карта'!E:E,'Дорожная карта'!D:D=B77)),),)"),"")</f>
        <v/>
      </c>
      <c r="J77" s="86" t="str">
        <f>IFERROR(__xludf.DUMMYFUNCTION("IFERROR(SUM(FILTER('Дорожная карта'!E:E,'Дорожная карта'!D:D=B77,'Дорожная карта'!L:L=TRUE())))"),"")</f>
        <v/>
      </c>
      <c r="K77" s="86" t="str">
        <f t="shared" si="1"/>
        <v/>
      </c>
    </row>
    <row r="78">
      <c r="A78" s="80">
        <v>76.0</v>
      </c>
      <c r="B78" s="91"/>
      <c r="C78" s="91"/>
      <c r="D78" s="14"/>
      <c r="E78" s="99"/>
      <c r="F78" s="83"/>
      <c r="G78" s="100"/>
      <c r="H78" s="100"/>
      <c r="I78" s="86" t="str">
        <f>IFERROR(__xludf.DUMMYFUNCTION("IF(LEN(B78)&gt;0,IFERROR(SUM(FILTER('Дорожная карта'!E:E,'Дорожная карта'!D:D=B78)),),)"),"")</f>
        <v/>
      </c>
      <c r="J78" s="86" t="str">
        <f>IFERROR(__xludf.DUMMYFUNCTION("IFERROR(SUM(FILTER('Дорожная карта'!E:E,'Дорожная карта'!D:D=B78,'Дорожная карта'!L:L=TRUE())))"),"")</f>
        <v/>
      </c>
      <c r="K78" s="86" t="str">
        <f t="shared" si="1"/>
        <v/>
      </c>
    </row>
    <row r="79">
      <c r="A79" s="80">
        <v>77.0</v>
      </c>
      <c r="B79" s="91"/>
      <c r="C79" s="91"/>
      <c r="D79" s="14"/>
      <c r="E79" s="99"/>
      <c r="F79" s="83"/>
      <c r="G79" s="100"/>
      <c r="H79" s="100"/>
      <c r="I79" s="86" t="str">
        <f>IFERROR(__xludf.DUMMYFUNCTION("IF(LEN(B79)&gt;0,IFERROR(SUM(FILTER('Дорожная карта'!E:E,'Дорожная карта'!D:D=B79)),),)"),"")</f>
        <v/>
      </c>
      <c r="J79" s="86" t="str">
        <f>IFERROR(__xludf.DUMMYFUNCTION("IFERROR(SUM(FILTER('Дорожная карта'!E:E,'Дорожная карта'!D:D=B79,'Дорожная карта'!L:L=TRUE())))"),"")</f>
        <v/>
      </c>
      <c r="K79" s="86" t="str">
        <f t="shared" si="1"/>
        <v/>
      </c>
    </row>
    <row r="80">
      <c r="A80" s="80">
        <v>78.0</v>
      </c>
      <c r="B80" s="91"/>
      <c r="C80" s="91"/>
      <c r="D80" s="14"/>
      <c r="E80" s="99"/>
      <c r="F80" s="83"/>
      <c r="G80" s="100"/>
      <c r="H80" s="100"/>
      <c r="I80" s="86" t="str">
        <f>IFERROR(__xludf.DUMMYFUNCTION("IF(LEN(B80)&gt;0,IFERROR(SUM(FILTER('Дорожная карта'!E:E,'Дорожная карта'!D:D=B80)),),)"),"")</f>
        <v/>
      </c>
      <c r="J80" s="86" t="str">
        <f>IFERROR(__xludf.DUMMYFUNCTION("IFERROR(SUM(FILTER('Дорожная карта'!E:E,'Дорожная карта'!D:D=B80,'Дорожная карта'!L:L=TRUE())))"),"")</f>
        <v/>
      </c>
      <c r="K80" s="86" t="str">
        <f t="shared" si="1"/>
        <v/>
      </c>
    </row>
    <row r="81">
      <c r="A81" s="90">
        <v>79.0</v>
      </c>
      <c r="B81" s="91"/>
      <c r="C81" s="91"/>
      <c r="D81" s="14"/>
      <c r="E81" s="99"/>
      <c r="F81" s="83"/>
      <c r="G81" s="100"/>
      <c r="H81" s="100"/>
      <c r="I81" s="86" t="str">
        <f>IFERROR(__xludf.DUMMYFUNCTION("IF(LEN(B81)&gt;0,IFERROR(SUM(FILTER('Дорожная карта'!E:E,'Дорожная карта'!D:D=B81)),),)"),"")</f>
        <v/>
      </c>
      <c r="J81" s="86" t="str">
        <f>IFERROR(__xludf.DUMMYFUNCTION("IFERROR(SUM(FILTER('Дорожная карта'!E:E,'Дорожная карта'!D:D=B81,'Дорожная карта'!L:L=TRUE())))"),"")</f>
        <v/>
      </c>
      <c r="K81" s="86" t="str">
        <f t="shared" si="1"/>
        <v/>
      </c>
    </row>
    <row r="82">
      <c r="A82" s="90">
        <v>80.0</v>
      </c>
      <c r="B82" s="91"/>
      <c r="C82" s="91"/>
      <c r="D82" s="14"/>
      <c r="E82" s="99"/>
      <c r="F82" s="83"/>
      <c r="G82" s="100"/>
      <c r="H82" s="100"/>
      <c r="I82" s="86" t="str">
        <f>IFERROR(__xludf.DUMMYFUNCTION("IF(LEN(B82)&gt;0,IFERROR(SUM(FILTER('Дорожная карта'!E:E,'Дорожная карта'!D:D=B82)),),)"),"")</f>
        <v/>
      </c>
      <c r="J82" s="86" t="str">
        <f>IFERROR(__xludf.DUMMYFUNCTION("IFERROR(SUM(FILTER('Дорожная карта'!E:E,'Дорожная карта'!D:D=B82,'Дорожная карта'!L:L=TRUE())))"),"")</f>
        <v/>
      </c>
      <c r="K82" s="86" t="str">
        <f t="shared" si="1"/>
        <v/>
      </c>
    </row>
    <row r="83">
      <c r="A83" s="80">
        <v>81.0</v>
      </c>
      <c r="B83" s="91"/>
      <c r="C83" s="91"/>
      <c r="D83" s="14"/>
      <c r="E83" s="99"/>
      <c r="F83" s="83"/>
      <c r="G83" s="100"/>
      <c r="H83" s="100"/>
      <c r="I83" s="86" t="str">
        <f>IFERROR(__xludf.DUMMYFUNCTION("IF(LEN(B83)&gt;0,IFERROR(SUM(FILTER('Дорожная карта'!E:E,'Дорожная карта'!D:D=B83)),),)"),"")</f>
        <v/>
      </c>
      <c r="J83" s="86" t="str">
        <f>IFERROR(__xludf.DUMMYFUNCTION("IFERROR(SUM(FILTER('Дорожная карта'!E:E,'Дорожная карта'!D:D=B83,'Дорожная карта'!L:L=TRUE())))"),"")</f>
        <v/>
      </c>
      <c r="K83" s="86" t="str">
        <f t="shared" si="1"/>
        <v/>
      </c>
    </row>
    <row r="84">
      <c r="A84" s="80">
        <v>82.0</v>
      </c>
      <c r="B84" s="91"/>
      <c r="C84" s="91"/>
      <c r="D84" s="14"/>
      <c r="E84" s="99"/>
      <c r="F84" s="83"/>
      <c r="G84" s="100"/>
      <c r="H84" s="100"/>
      <c r="I84" s="86" t="str">
        <f>IFERROR(__xludf.DUMMYFUNCTION("IF(LEN(B84)&gt;0,IFERROR(SUM(FILTER('Дорожная карта'!E:E,'Дорожная карта'!D:D=B84)),),)"),"")</f>
        <v/>
      </c>
      <c r="J84" s="86" t="str">
        <f>IFERROR(__xludf.DUMMYFUNCTION("IFERROR(SUM(FILTER('Дорожная карта'!E:E,'Дорожная карта'!D:D=B84,'Дорожная карта'!L:L=TRUE())))"),"")</f>
        <v/>
      </c>
      <c r="K84" s="86" t="str">
        <f t="shared" si="1"/>
        <v/>
      </c>
    </row>
    <row r="85">
      <c r="A85" s="80">
        <v>83.0</v>
      </c>
      <c r="B85" s="91"/>
      <c r="C85" s="91"/>
      <c r="D85" s="14"/>
      <c r="E85" s="99"/>
      <c r="F85" s="83"/>
      <c r="G85" s="100"/>
      <c r="H85" s="100"/>
      <c r="I85" s="86" t="str">
        <f>IFERROR(__xludf.DUMMYFUNCTION("IF(LEN(B85)&gt;0,IFERROR(SUM(FILTER('Дорожная карта'!E:E,'Дорожная карта'!D:D=B85)),),)"),"")</f>
        <v/>
      </c>
      <c r="J85" s="86" t="str">
        <f>IFERROR(__xludf.DUMMYFUNCTION("IFERROR(SUM(FILTER('Дорожная карта'!E:E,'Дорожная карта'!D:D=B85,'Дорожная карта'!L:L=TRUE())))"),"")</f>
        <v/>
      </c>
      <c r="K85" s="86" t="str">
        <f t="shared" si="1"/>
        <v/>
      </c>
    </row>
    <row r="86">
      <c r="A86" s="90">
        <v>84.0</v>
      </c>
      <c r="B86" s="91"/>
      <c r="C86" s="91"/>
      <c r="D86" s="14"/>
      <c r="E86" s="99"/>
      <c r="F86" s="83"/>
      <c r="G86" s="100"/>
      <c r="H86" s="100"/>
      <c r="I86" s="86" t="str">
        <f>IFERROR(__xludf.DUMMYFUNCTION("IF(LEN(B86)&gt;0,IFERROR(SUM(FILTER('Дорожная карта'!E:E,'Дорожная карта'!D:D=B86)),),)"),"")</f>
        <v/>
      </c>
      <c r="J86" s="86" t="str">
        <f>IFERROR(__xludf.DUMMYFUNCTION("IFERROR(SUM(FILTER('Дорожная карта'!E:E,'Дорожная карта'!D:D=B86,'Дорожная карта'!L:L=TRUE())))"),"")</f>
        <v/>
      </c>
      <c r="K86" s="86" t="str">
        <f t="shared" si="1"/>
        <v/>
      </c>
    </row>
    <row r="87">
      <c r="A87" s="90">
        <v>85.0</v>
      </c>
      <c r="B87" s="91"/>
      <c r="C87" s="91"/>
      <c r="D87" s="14"/>
      <c r="E87" s="99"/>
      <c r="F87" s="83"/>
      <c r="G87" s="100"/>
      <c r="H87" s="100"/>
      <c r="I87" s="86" t="str">
        <f>IFERROR(__xludf.DUMMYFUNCTION("IF(LEN(B87)&gt;0,IFERROR(SUM(FILTER('Дорожная карта'!E:E,'Дорожная карта'!D:D=B87)),),)"),"")</f>
        <v/>
      </c>
      <c r="J87" s="86" t="str">
        <f>IFERROR(__xludf.DUMMYFUNCTION("IFERROR(SUM(FILTER('Дорожная карта'!E:E,'Дорожная карта'!D:D=B87,'Дорожная карта'!L:L=TRUE())))"),"")</f>
        <v/>
      </c>
      <c r="K87" s="86" t="str">
        <f t="shared" si="1"/>
        <v/>
      </c>
    </row>
    <row r="88">
      <c r="A88" s="80">
        <v>86.0</v>
      </c>
      <c r="B88" s="91"/>
      <c r="C88" s="91"/>
      <c r="D88" s="14"/>
      <c r="E88" s="99"/>
      <c r="F88" s="83"/>
      <c r="G88" s="100"/>
      <c r="H88" s="100"/>
      <c r="I88" s="86" t="str">
        <f>IFERROR(__xludf.DUMMYFUNCTION("IF(LEN(B88)&gt;0,IFERROR(SUM(FILTER('Дорожная карта'!E:E,'Дорожная карта'!D:D=B88)),),)"),"")</f>
        <v/>
      </c>
      <c r="J88" s="86" t="str">
        <f>IFERROR(__xludf.DUMMYFUNCTION("IFERROR(SUM(FILTER('Дорожная карта'!E:E,'Дорожная карта'!D:D=B88,'Дорожная карта'!L:L=TRUE())))"),"")</f>
        <v/>
      </c>
      <c r="K88" s="86" t="str">
        <f t="shared" si="1"/>
        <v/>
      </c>
    </row>
    <row r="89">
      <c r="A89" s="80">
        <v>87.0</v>
      </c>
      <c r="B89" s="91"/>
      <c r="C89" s="91"/>
      <c r="D89" s="14"/>
      <c r="E89" s="99"/>
      <c r="F89" s="83"/>
      <c r="G89" s="100"/>
      <c r="H89" s="100"/>
      <c r="I89" s="86" t="str">
        <f>IFERROR(__xludf.DUMMYFUNCTION("IF(LEN(B89)&gt;0,IFERROR(SUM(FILTER('Дорожная карта'!E:E,'Дорожная карта'!D:D=B89)),),)"),"")</f>
        <v/>
      </c>
      <c r="J89" s="86" t="str">
        <f>IFERROR(__xludf.DUMMYFUNCTION("IFERROR(SUM(FILTER('Дорожная карта'!E:E,'Дорожная карта'!D:D=B89,'Дорожная карта'!L:L=TRUE())))"),"")</f>
        <v/>
      </c>
      <c r="K89" s="86" t="str">
        <f t="shared" si="1"/>
        <v/>
      </c>
    </row>
    <row r="90">
      <c r="A90" s="80">
        <v>88.0</v>
      </c>
      <c r="B90" s="91"/>
      <c r="C90" s="91"/>
      <c r="D90" s="14"/>
      <c r="E90" s="99"/>
      <c r="F90" s="83"/>
      <c r="G90" s="100"/>
      <c r="H90" s="100"/>
      <c r="I90" s="86" t="str">
        <f>IFERROR(__xludf.DUMMYFUNCTION("IF(LEN(B90)&gt;0,IFERROR(SUM(FILTER('Дорожная карта'!E:E,'Дорожная карта'!D:D=B90)),),)"),"")</f>
        <v/>
      </c>
      <c r="J90" s="86" t="str">
        <f>IFERROR(__xludf.DUMMYFUNCTION("IFERROR(SUM(FILTER('Дорожная карта'!E:E,'Дорожная карта'!D:D=B90,'Дорожная карта'!L:L=TRUE())))"),"")</f>
        <v/>
      </c>
      <c r="K90" s="86" t="str">
        <f t="shared" si="1"/>
        <v/>
      </c>
    </row>
    <row r="91">
      <c r="A91" s="90">
        <v>89.0</v>
      </c>
      <c r="B91" s="91"/>
      <c r="C91" s="91"/>
      <c r="D91" s="14"/>
      <c r="E91" s="99"/>
      <c r="F91" s="83"/>
      <c r="G91" s="100"/>
      <c r="H91" s="100"/>
      <c r="I91" s="86" t="str">
        <f>IFERROR(__xludf.DUMMYFUNCTION("IF(LEN(B91)&gt;0,IFERROR(SUM(FILTER('Дорожная карта'!E:E,'Дорожная карта'!D:D=B91)),),)"),"")</f>
        <v/>
      </c>
      <c r="J91" s="86" t="str">
        <f>IFERROR(__xludf.DUMMYFUNCTION("IFERROR(SUM(FILTER('Дорожная карта'!E:E,'Дорожная карта'!D:D=B91,'Дорожная карта'!L:L=TRUE())))"),"")</f>
        <v/>
      </c>
      <c r="K91" s="86" t="str">
        <f t="shared" si="1"/>
        <v/>
      </c>
    </row>
    <row r="92">
      <c r="A92" s="90">
        <v>90.0</v>
      </c>
      <c r="B92" s="91"/>
      <c r="C92" s="91"/>
      <c r="D92" s="14"/>
      <c r="E92" s="99"/>
      <c r="F92" s="83"/>
      <c r="G92" s="100"/>
      <c r="H92" s="100"/>
      <c r="I92" s="86" t="str">
        <f>IFERROR(__xludf.DUMMYFUNCTION("IF(LEN(B92)&gt;0,IFERROR(SUM(FILTER('Дорожная карта'!E:E,'Дорожная карта'!D:D=B92)),),)"),"")</f>
        <v/>
      </c>
      <c r="J92" s="86" t="str">
        <f>IFERROR(__xludf.DUMMYFUNCTION("IFERROR(SUM(FILTER('Дорожная карта'!E:E,'Дорожная карта'!D:D=B92,'Дорожная карта'!L:L=TRUE())))"),"")</f>
        <v/>
      </c>
      <c r="K92" s="86" t="str">
        <f t="shared" si="1"/>
        <v/>
      </c>
    </row>
    <row r="93">
      <c r="A93" s="80">
        <v>91.0</v>
      </c>
      <c r="B93" s="91"/>
      <c r="C93" s="91"/>
      <c r="D93" s="14"/>
      <c r="E93" s="99"/>
      <c r="F93" s="83"/>
      <c r="G93" s="100"/>
      <c r="H93" s="100"/>
      <c r="I93" s="86" t="str">
        <f>IFERROR(__xludf.DUMMYFUNCTION("IF(LEN(B93)&gt;0,IFERROR(SUM(FILTER('Дорожная карта'!E:E,'Дорожная карта'!D:D=B93)),),)"),"")</f>
        <v/>
      </c>
      <c r="J93" s="86" t="str">
        <f>IFERROR(__xludf.DUMMYFUNCTION("IFERROR(SUM(FILTER('Дорожная карта'!E:E,'Дорожная карта'!D:D=B93,'Дорожная карта'!L:L=TRUE())))"),"")</f>
        <v/>
      </c>
      <c r="K93" s="86" t="str">
        <f t="shared" si="1"/>
        <v/>
      </c>
    </row>
    <row r="94">
      <c r="A94" s="80">
        <v>92.0</v>
      </c>
      <c r="B94" s="91"/>
      <c r="C94" s="91"/>
      <c r="D94" s="14"/>
      <c r="E94" s="99"/>
      <c r="F94" s="83"/>
      <c r="G94" s="100"/>
      <c r="H94" s="100"/>
      <c r="I94" s="86" t="str">
        <f>IFERROR(__xludf.DUMMYFUNCTION("IF(LEN(B94)&gt;0,IFERROR(SUM(FILTER('Дорожная карта'!E:E,'Дорожная карта'!D:D=B94)),),)"),"")</f>
        <v/>
      </c>
      <c r="J94" s="86" t="str">
        <f>IFERROR(__xludf.DUMMYFUNCTION("IFERROR(SUM(FILTER('Дорожная карта'!E:E,'Дорожная карта'!D:D=B94,'Дорожная карта'!L:L=TRUE())))"),"")</f>
        <v/>
      </c>
      <c r="K94" s="86" t="str">
        <f t="shared" si="1"/>
        <v/>
      </c>
    </row>
    <row r="95">
      <c r="A95" s="80">
        <v>93.0</v>
      </c>
      <c r="B95" s="91"/>
      <c r="C95" s="91"/>
      <c r="D95" s="14"/>
      <c r="E95" s="99"/>
      <c r="F95" s="83"/>
      <c r="G95" s="100"/>
      <c r="H95" s="100"/>
      <c r="I95" s="86" t="str">
        <f>IFERROR(__xludf.DUMMYFUNCTION("IF(LEN(B95)&gt;0,IFERROR(SUM(FILTER('Дорожная карта'!E:E,'Дорожная карта'!D:D=B95)),),)"),"")</f>
        <v/>
      </c>
      <c r="J95" s="86" t="str">
        <f>IFERROR(__xludf.DUMMYFUNCTION("IFERROR(SUM(FILTER('Дорожная карта'!E:E,'Дорожная карта'!D:D=B95,'Дорожная карта'!L:L=TRUE())))"),"")</f>
        <v/>
      </c>
      <c r="K95" s="86" t="str">
        <f t="shared" si="1"/>
        <v/>
      </c>
    </row>
    <row r="96">
      <c r="A96" s="90">
        <v>94.0</v>
      </c>
      <c r="B96" s="91"/>
      <c r="C96" s="91"/>
      <c r="D96" s="14"/>
      <c r="E96" s="99"/>
      <c r="F96" s="83"/>
      <c r="G96" s="100"/>
      <c r="H96" s="100"/>
      <c r="I96" s="86" t="str">
        <f>IFERROR(__xludf.DUMMYFUNCTION("IF(LEN(B96)&gt;0,IFERROR(SUM(FILTER('Дорожная карта'!E:E,'Дорожная карта'!D:D=B96)),),)"),"")</f>
        <v/>
      </c>
      <c r="J96" s="86" t="str">
        <f>IFERROR(__xludf.DUMMYFUNCTION("IFERROR(SUM(FILTER('Дорожная карта'!E:E,'Дорожная карта'!D:D=B96,'Дорожная карта'!L:L=TRUE())))"),"")</f>
        <v/>
      </c>
      <c r="K96" s="86" t="str">
        <f t="shared" si="1"/>
        <v/>
      </c>
    </row>
    <row r="97">
      <c r="A97" s="90">
        <v>95.0</v>
      </c>
      <c r="B97" s="91"/>
      <c r="C97" s="91"/>
      <c r="D97" s="14"/>
      <c r="E97" s="99"/>
      <c r="F97" s="83"/>
      <c r="G97" s="100"/>
      <c r="H97" s="100"/>
      <c r="I97" s="86" t="str">
        <f>IFERROR(__xludf.DUMMYFUNCTION("IF(LEN(B97)&gt;0,IFERROR(SUM(FILTER('Дорожная карта'!E:E,'Дорожная карта'!D:D=B97)),),)"),"")</f>
        <v/>
      </c>
      <c r="J97" s="86" t="str">
        <f>IFERROR(__xludf.DUMMYFUNCTION("IFERROR(SUM(FILTER('Дорожная карта'!E:E,'Дорожная карта'!D:D=B97,'Дорожная карта'!L:L=TRUE())))"),"")</f>
        <v/>
      </c>
      <c r="K97" s="86" t="str">
        <f t="shared" si="1"/>
        <v/>
      </c>
    </row>
    <row r="98">
      <c r="A98" s="80">
        <v>96.0</v>
      </c>
      <c r="B98" s="91"/>
      <c r="C98" s="91"/>
      <c r="D98" s="14"/>
      <c r="E98" s="99"/>
      <c r="F98" s="83"/>
      <c r="G98" s="100"/>
      <c r="H98" s="100"/>
      <c r="I98" s="86" t="str">
        <f>IFERROR(__xludf.DUMMYFUNCTION("IF(LEN(B98)&gt;0,IFERROR(SUM(FILTER('Дорожная карта'!E:E,'Дорожная карта'!D:D=B98)),),)"),"")</f>
        <v/>
      </c>
      <c r="J98" s="86" t="str">
        <f>IFERROR(__xludf.DUMMYFUNCTION("IFERROR(SUM(FILTER('Дорожная карта'!E:E,'Дорожная карта'!D:D=B98,'Дорожная карта'!L:L=TRUE())))"),"")</f>
        <v/>
      </c>
      <c r="K98" s="86" t="str">
        <f t="shared" si="1"/>
        <v/>
      </c>
    </row>
    <row r="99">
      <c r="A99" s="80">
        <v>97.0</v>
      </c>
      <c r="B99" s="91"/>
      <c r="C99" s="91"/>
      <c r="D99" s="14"/>
      <c r="E99" s="99"/>
      <c r="F99" s="83"/>
      <c r="G99" s="100"/>
      <c r="H99" s="100"/>
      <c r="I99" s="86" t="str">
        <f>IFERROR(__xludf.DUMMYFUNCTION("IF(LEN(B99)&gt;0,IFERROR(SUM(FILTER('Дорожная карта'!E:E,'Дорожная карта'!D:D=B99)),),)"),"")</f>
        <v/>
      </c>
      <c r="J99" s="86" t="str">
        <f>IFERROR(__xludf.DUMMYFUNCTION("IFERROR(SUM(FILTER('Дорожная карта'!E:E,'Дорожная карта'!D:D=B99,'Дорожная карта'!L:L=TRUE())))"),"")</f>
        <v/>
      </c>
      <c r="K99" s="86" t="str">
        <f t="shared" si="1"/>
        <v/>
      </c>
    </row>
    <row r="100">
      <c r="A100" s="80">
        <v>98.0</v>
      </c>
      <c r="B100" s="91"/>
      <c r="C100" s="91"/>
      <c r="D100" s="14"/>
      <c r="E100" s="99"/>
      <c r="F100" s="83"/>
      <c r="G100" s="100"/>
      <c r="H100" s="100"/>
      <c r="I100" s="86" t="str">
        <f>IFERROR(__xludf.DUMMYFUNCTION("IF(LEN(B100)&gt;0,IFERROR(SUM(FILTER('Дорожная карта'!E:E,'Дорожная карта'!D:D=B100)),),)"),"")</f>
        <v/>
      </c>
      <c r="J100" s="86" t="str">
        <f>IFERROR(__xludf.DUMMYFUNCTION("IFERROR(SUM(FILTER('Дорожная карта'!E:E,'Дорожная карта'!D:D=B100,'Дорожная карта'!L:L=TRUE())))"),"")</f>
        <v/>
      </c>
      <c r="K100" s="86" t="str">
        <f t="shared" si="1"/>
        <v/>
      </c>
    </row>
    <row r="101">
      <c r="A101" s="90">
        <v>99.0</v>
      </c>
      <c r="B101" s="91"/>
      <c r="C101" s="91"/>
      <c r="D101" s="14"/>
      <c r="E101" s="99"/>
      <c r="F101" s="83"/>
      <c r="G101" s="100"/>
      <c r="H101" s="100"/>
      <c r="I101" s="86" t="str">
        <f>IFERROR(__xludf.DUMMYFUNCTION("IF(LEN(B101)&gt;0,IFERROR(SUM(FILTER('Дорожная карта'!E:E,'Дорожная карта'!D:D=B101)),),)"),"")</f>
        <v/>
      </c>
      <c r="J101" s="86" t="str">
        <f>IFERROR(__xludf.DUMMYFUNCTION("IFERROR(SUM(FILTER('Дорожная карта'!E:E,'Дорожная карта'!D:D=B101,'Дорожная карта'!L:L=TRUE())))"),"")</f>
        <v/>
      </c>
      <c r="K101" s="86" t="str">
        <f t="shared" si="1"/>
        <v/>
      </c>
    </row>
    <row r="102">
      <c r="A102" s="90">
        <v>100.0</v>
      </c>
      <c r="B102" s="91"/>
      <c r="C102" s="91"/>
      <c r="D102" s="14"/>
      <c r="E102" s="99"/>
      <c r="F102" s="83"/>
      <c r="G102" s="100"/>
      <c r="H102" s="100"/>
      <c r="I102" s="86" t="str">
        <f>IFERROR(__xludf.DUMMYFUNCTION("IF(LEN(B102)&gt;0,IFERROR(SUM(FILTER('Дорожная карта'!E:E,'Дорожная карта'!D:D=B102)),),)"),"")</f>
        <v/>
      </c>
      <c r="J102" s="86" t="str">
        <f>IFERROR(__xludf.DUMMYFUNCTION("IFERROR(SUM(FILTER('Дорожная карта'!E:E,'Дорожная карта'!D:D=B102,'Дорожная карта'!L:L=TRUE())))"),"")</f>
        <v/>
      </c>
      <c r="K102" s="86" t="str">
        <f t="shared" si="1"/>
        <v/>
      </c>
    </row>
  </sheetData>
  <mergeCells count="8">
    <mergeCell ref="A1:A2"/>
    <mergeCell ref="B1:B2"/>
    <mergeCell ref="C1:C2"/>
    <mergeCell ref="D1:D2"/>
    <mergeCell ref="E1:E2"/>
    <mergeCell ref="F1:F2"/>
    <mergeCell ref="G1:H1"/>
    <mergeCell ref="I1:K1"/>
  </mergeCells>
  <conditionalFormatting sqref="F3:F5 F29:F102">
    <cfRule type="cellIs" dxfId="0" priority="1" operator="greaterThan">
      <formula>10</formula>
    </cfRule>
  </conditionalFormatting>
  <dataValidations>
    <dataValidation type="list" allowBlank="1" showErrorMessage="1" sqref="G3:G102">
      <formula1>"0,1,2,3,4,5,6,7,8,9,10"</formula1>
    </dataValidation>
    <dataValidation type="list" allowBlank="1" showErrorMessage="1" sqref="E3:E102">
      <formula1>"Лидер проекта,Бригадир,Исполнитель,Журналист"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11" width="25.13"/>
  </cols>
  <sheetData>
    <row r="1">
      <c r="A1" s="101" t="s">
        <v>491</v>
      </c>
      <c r="B1" s="102">
        <v>1.0</v>
      </c>
      <c r="C1" s="102">
        <v>2.0</v>
      </c>
      <c r="D1" s="102">
        <v>3.0</v>
      </c>
      <c r="E1" s="102">
        <v>4.0</v>
      </c>
      <c r="F1" s="102">
        <v>5.0</v>
      </c>
      <c r="G1" s="102">
        <v>6.0</v>
      </c>
      <c r="H1" s="102">
        <v>7.0</v>
      </c>
      <c r="I1" s="102">
        <v>8.0</v>
      </c>
      <c r="J1" s="102">
        <v>9.0</v>
      </c>
      <c r="K1" s="102">
        <v>10.0</v>
      </c>
    </row>
    <row r="2">
      <c r="A2" s="103" t="s">
        <v>492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>
      <c r="A3" s="14" t="s">
        <v>493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</row>
    <row r="4">
      <c r="A4" s="14" t="s">
        <v>494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</row>
    <row r="5">
      <c r="A5" s="14" t="s">
        <v>495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6">
      <c r="A6" s="14" t="s">
        <v>496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</row>
    <row r="7">
      <c r="B7" s="105"/>
      <c r="C7" s="105"/>
      <c r="D7" s="105"/>
      <c r="E7" s="105"/>
      <c r="F7" s="105"/>
      <c r="G7" s="105"/>
      <c r="H7" s="105"/>
      <c r="I7" s="105"/>
      <c r="J7" s="105"/>
      <c r="K7" s="105"/>
    </row>
    <row r="8">
      <c r="A8" s="103" t="s">
        <v>497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</row>
    <row r="9">
      <c r="A9" s="14" t="s">
        <v>498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</row>
    <row r="10">
      <c r="A10" s="14" t="s">
        <v>499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</row>
    <row r="11">
      <c r="A11" s="14" t="s">
        <v>500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</row>
    <row r="12">
      <c r="A12" s="14" t="s">
        <v>501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</row>
    <row r="13">
      <c r="A13" s="106" t="s">
        <v>502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</row>
    <row r="14">
      <c r="A14" s="14" t="s">
        <v>503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</row>
    <row r="15">
      <c r="A15" s="14" t="s">
        <v>504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</row>
    <row r="16">
      <c r="A16" s="14" t="s">
        <v>505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</row>
    <row r="17">
      <c r="B17" s="105"/>
      <c r="C17" s="105"/>
      <c r="D17" s="105"/>
      <c r="E17" s="105"/>
      <c r="F17" s="105"/>
      <c r="G17" s="105"/>
      <c r="H17" s="105"/>
      <c r="I17" s="105"/>
      <c r="J17" s="105"/>
      <c r="K17" s="105"/>
    </row>
    <row r="18">
      <c r="A18" s="103" t="s">
        <v>506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</row>
    <row r="19">
      <c r="A19" s="14" t="s">
        <v>507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</row>
    <row r="20">
      <c r="A20" s="14" t="s">
        <v>508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</row>
    <row r="21">
      <c r="A21" s="14" t="s">
        <v>509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</row>
    <row r="22">
      <c r="A22" s="14" t="s">
        <v>510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</row>
    <row r="23">
      <c r="A23" s="14" t="s">
        <v>511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</row>
    <row r="24">
      <c r="A24" s="14" t="s">
        <v>512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</row>
    <row r="25">
      <c r="B25" s="105"/>
      <c r="C25" s="105"/>
      <c r="D25" s="105"/>
      <c r="E25" s="105"/>
      <c r="F25" s="105"/>
      <c r="G25" s="105"/>
      <c r="H25" s="105"/>
      <c r="I25" s="105"/>
      <c r="J25" s="105"/>
      <c r="K25" s="105"/>
    </row>
    <row r="26">
      <c r="A26" s="103" t="s">
        <v>513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</row>
    <row r="27">
      <c r="A27" s="14" t="s">
        <v>514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</row>
    <row r="28">
      <c r="A28" s="14" t="s">
        <v>515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</row>
    <row r="29">
      <c r="A29" s="14" t="s">
        <v>516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</row>
    <row r="30">
      <c r="A30" s="14" t="s">
        <v>517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</row>
    <row r="31">
      <c r="A31" s="14" t="s">
        <v>518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</row>
    <row r="32">
      <c r="A32" s="14" t="s">
        <v>519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</row>
    <row r="33">
      <c r="A33" s="106" t="s">
        <v>520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</row>
    <row r="34">
      <c r="B34" s="105"/>
      <c r="C34" s="105"/>
      <c r="D34" s="105"/>
      <c r="E34" s="105"/>
      <c r="F34" s="105"/>
      <c r="G34" s="105"/>
      <c r="H34" s="105"/>
      <c r="I34" s="105"/>
      <c r="J34" s="105"/>
      <c r="K34" s="105"/>
    </row>
    <row r="35">
      <c r="A35" s="103" t="s">
        <v>521</v>
      </c>
      <c r="B35" s="104"/>
      <c r="C35" s="104"/>
      <c r="D35" s="104"/>
      <c r="E35" s="104"/>
      <c r="F35" s="104"/>
      <c r="G35" s="104"/>
      <c r="H35" s="104"/>
      <c r="I35" s="104"/>
      <c r="J35" s="104"/>
      <c r="K35" s="104"/>
    </row>
    <row r="36">
      <c r="A36" s="14" t="s">
        <v>522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</row>
    <row r="37">
      <c r="A37" s="14" t="s">
        <v>523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</row>
    <row r="38">
      <c r="A38" s="14" t="s">
        <v>524</v>
      </c>
      <c r="B38" s="105"/>
      <c r="C38" s="105"/>
      <c r="D38" s="105"/>
      <c r="E38" s="105"/>
      <c r="F38" s="105"/>
      <c r="G38" s="105"/>
      <c r="H38" s="105"/>
      <c r="I38" s="105"/>
      <c r="J38" s="105"/>
      <c r="K38" s="105"/>
    </row>
    <row r="39">
      <c r="A39" s="14" t="s">
        <v>525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0">
      <c r="B40" s="105"/>
      <c r="C40" s="105"/>
      <c r="D40" s="105"/>
      <c r="E40" s="105"/>
      <c r="F40" s="105"/>
      <c r="G40" s="105"/>
      <c r="H40" s="105"/>
      <c r="I40" s="105"/>
      <c r="J40" s="105"/>
      <c r="K40" s="105"/>
    </row>
    <row r="41">
      <c r="A41" s="103" t="s">
        <v>526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</row>
    <row r="42">
      <c r="A42" s="14" t="s">
        <v>527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</row>
    <row r="43">
      <c r="A43" s="14" t="s">
        <v>528</v>
      </c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4">
      <c r="A44" s="14" t="s">
        <v>529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/>
    </row>
    <row r="45">
      <c r="A45" s="14" t="s">
        <v>530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</row>
    <row r="46">
      <c r="B46" s="105"/>
      <c r="C46" s="105"/>
      <c r="D46" s="105"/>
      <c r="E46" s="105"/>
      <c r="F46" s="105"/>
      <c r="G46" s="105"/>
      <c r="H46" s="105"/>
      <c r="I46" s="105"/>
      <c r="J46" s="105"/>
      <c r="K46" s="105"/>
    </row>
    <row r="47">
      <c r="A47" s="103" t="s">
        <v>531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4"/>
    </row>
    <row r="48">
      <c r="B48" s="105"/>
      <c r="C48" s="105"/>
      <c r="D48" s="105"/>
      <c r="E48" s="105"/>
      <c r="F48" s="105"/>
      <c r="G48" s="105"/>
      <c r="H48" s="105"/>
      <c r="I48" s="105"/>
      <c r="J48" s="105"/>
      <c r="K48" s="105"/>
    </row>
    <row r="49">
      <c r="B49" s="105"/>
      <c r="C49" s="105"/>
      <c r="D49" s="105"/>
      <c r="E49" s="105"/>
      <c r="F49" s="105"/>
      <c r="G49" s="105"/>
      <c r="H49" s="105"/>
      <c r="I49" s="105"/>
      <c r="J49" s="105"/>
      <c r="K49" s="105"/>
    </row>
    <row r="50">
      <c r="B50" s="105"/>
      <c r="C50" s="105"/>
      <c r="D50" s="105"/>
      <c r="E50" s="105"/>
      <c r="F50" s="105"/>
      <c r="G50" s="105"/>
      <c r="H50" s="105"/>
      <c r="I50" s="105"/>
      <c r="J50" s="105"/>
      <c r="K50" s="105"/>
    </row>
    <row r="51">
      <c r="B51" s="105"/>
      <c r="C51" s="105"/>
      <c r="D51" s="105"/>
      <c r="E51" s="105"/>
      <c r="F51" s="105"/>
      <c r="G51" s="105"/>
      <c r="H51" s="105"/>
      <c r="I51" s="105"/>
      <c r="J51" s="105"/>
      <c r="K51" s="105"/>
    </row>
    <row r="52">
      <c r="B52" s="105"/>
      <c r="C52" s="105"/>
      <c r="D52" s="105"/>
      <c r="E52" s="105"/>
      <c r="F52" s="105"/>
      <c r="G52" s="105"/>
      <c r="H52" s="105"/>
      <c r="I52" s="105"/>
      <c r="J52" s="105"/>
      <c r="K52" s="105"/>
    </row>
    <row r="53">
      <c r="B53" s="105"/>
      <c r="C53" s="105"/>
      <c r="D53" s="105"/>
      <c r="E53" s="105"/>
      <c r="F53" s="105"/>
      <c r="G53" s="105"/>
      <c r="H53" s="105"/>
      <c r="I53" s="105"/>
      <c r="J53" s="105"/>
      <c r="K53" s="105"/>
    </row>
    <row r="54">
      <c r="B54" s="105"/>
      <c r="C54" s="105"/>
      <c r="D54" s="105"/>
      <c r="E54" s="105"/>
      <c r="F54" s="105"/>
      <c r="G54" s="105"/>
      <c r="H54" s="105"/>
      <c r="I54" s="105"/>
      <c r="J54" s="105"/>
      <c r="K54" s="105"/>
    </row>
    <row r="55">
      <c r="B55" s="105"/>
      <c r="C55" s="105"/>
      <c r="D55" s="105"/>
      <c r="E55" s="105"/>
      <c r="F55" s="105"/>
      <c r="G55" s="105"/>
      <c r="H55" s="105"/>
      <c r="I55" s="105"/>
      <c r="J55" s="105"/>
      <c r="K55" s="105"/>
    </row>
    <row r="56">
      <c r="B56" s="105"/>
      <c r="C56" s="105"/>
      <c r="D56" s="105"/>
      <c r="E56" s="105"/>
      <c r="F56" s="105"/>
      <c r="G56" s="105"/>
      <c r="H56" s="105"/>
      <c r="I56" s="105"/>
      <c r="J56" s="105"/>
      <c r="K56" s="105"/>
    </row>
    <row r="57">
      <c r="B57" s="105"/>
      <c r="C57" s="105"/>
      <c r="D57" s="105"/>
      <c r="E57" s="105"/>
      <c r="F57" s="105"/>
      <c r="G57" s="105"/>
      <c r="H57" s="105"/>
      <c r="I57" s="105"/>
      <c r="J57" s="105"/>
      <c r="K57" s="105"/>
    </row>
    <row r="58">
      <c r="B58" s="105"/>
      <c r="C58" s="105"/>
      <c r="D58" s="105"/>
      <c r="E58" s="105"/>
      <c r="F58" s="105"/>
      <c r="G58" s="105"/>
      <c r="H58" s="105"/>
      <c r="I58" s="105"/>
      <c r="J58" s="105"/>
      <c r="K58" s="105"/>
    </row>
    <row r="59">
      <c r="B59" s="105"/>
      <c r="C59" s="105"/>
      <c r="D59" s="105"/>
      <c r="E59" s="105"/>
      <c r="F59" s="105"/>
      <c r="G59" s="105"/>
      <c r="H59" s="105"/>
      <c r="I59" s="105"/>
      <c r="J59" s="105"/>
      <c r="K59" s="105"/>
    </row>
    <row r="60">
      <c r="B60" s="105"/>
      <c r="C60" s="105"/>
      <c r="D60" s="105"/>
      <c r="E60" s="105"/>
      <c r="F60" s="105"/>
      <c r="G60" s="105"/>
      <c r="H60" s="105"/>
      <c r="I60" s="105"/>
      <c r="J60" s="105"/>
      <c r="K60" s="105"/>
    </row>
    <row r="61">
      <c r="B61" s="105"/>
      <c r="C61" s="105"/>
      <c r="D61" s="105"/>
      <c r="E61" s="105"/>
      <c r="F61" s="105"/>
      <c r="G61" s="105"/>
      <c r="H61" s="105"/>
      <c r="I61" s="105"/>
      <c r="J61" s="105"/>
      <c r="K61" s="105"/>
    </row>
    <row r="62">
      <c r="B62" s="105"/>
      <c r="C62" s="105"/>
      <c r="D62" s="105"/>
      <c r="E62" s="105"/>
      <c r="F62" s="105"/>
      <c r="G62" s="105"/>
      <c r="H62" s="105"/>
      <c r="I62" s="105"/>
      <c r="J62" s="105"/>
      <c r="K62" s="105"/>
    </row>
    <row r="63">
      <c r="B63" s="105"/>
      <c r="C63" s="105"/>
      <c r="D63" s="105"/>
      <c r="E63" s="105"/>
      <c r="F63" s="105"/>
      <c r="G63" s="105"/>
      <c r="H63" s="105"/>
      <c r="I63" s="105"/>
      <c r="J63" s="105"/>
      <c r="K63" s="105"/>
    </row>
    <row r="64">
      <c r="B64" s="105"/>
      <c r="C64" s="105"/>
      <c r="D64" s="105"/>
      <c r="E64" s="105"/>
      <c r="F64" s="105"/>
      <c r="G64" s="105"/>
      <c r="H64" s="105"/>
      <c r="I64" s="105"/>
      <c r="J64" s="105"/>
      <c r="K64" s="105"/>
    </row>
    <row r="65">
      <c r="B65" s="105"/>
      <c r="C65" s="105"/>
      <c r="D65" s="105"/>
      <c r="E65" s="105"/>
      <c r="F65" s="105"/>
      <c r="G65" s="105"/>
      <c r="H65" s="105"/>
      <c r="I65" s="105"/>
      <c r="J65" s="105"/>
      <c r="K65" s="105"/>
    </row>
    <row r="66">
      <c r="B66" s="105"/>
      <c r="C66" s="105"/>
      <c r="D66" s="105"/>
      <c r="E66" s="105"/>
      <c r="F66" s="105"/>
      <c r="G66" s="105"/>
      <c r="H66" s="105"/>
      <c r="I66" s="105"/>
      <c r="J66" s="105"/>
      <c r="K66" s="105"/>
    </row>
    <row r="67">
      <c r="B67" s="105"/>
      <c r="C67" s="105"/>
      <c r="D67" s="105"/>
      <c r="E67" s="105"/>
      <c r="F67" s="105"/>
      <c r="G67" s="105"/>
      <c r="H67" s="105"/>
      <c r="I67" s="105"/>
      <c r="J67" s="105"/>
      <c r="K67" s="105"/>
    </row>
    <row r="68">
      <c r="B68" s="105"/>
      <c r="C68" s="105"/>
      <c r="D68" s="105"/>
      <c r="E68" s="105"/>
      <c r="F68" s="105"/>
      <c r="G68" s="105"/>
      <c r="H68" s="105"/>
      <c r="I68" s="105"/>
      <c r="J68" s="105"/>
      <c r="K68" s="105"/>
    </row>
    <row r="69">
      <c r="B69" s="105"/>
      <c r="C69" s="105"/>
      <c r="D69" s="105"/>
      <c r="E69" s="105"/>
      <c r="F69" s="105"/>
      <c r="G69" s="105"/>
      <c r="H69" s="105"/>
      <c r="I69" s="105"/>
      <c r="J69" s="105"/>
      <c r="K69" s="105"/>
    </row>
    <row r="70">
      <c r="B70" s="105"/>
      <c r="C70" s="105"/>
      <c r="D70" s="105"/>
      <c r="E70" s="105"/>
      <c r="F70" s="105"/>
      <c r="G70" s="105"/>
      <c r="H70" s="105"/>
      <c r="I70" s="105"/>
      <c r="J70" s="105"/>
      <c r="K70" s="105"/>
    </row>
    <row r="71">
      <c r="B71" s="105"/>
      <c r="C71" s="105"/>
      <c r="D71" s="105"/>
      <c r="E71" s="105"/>
      <c r="F71" s="105"/>
      <c r="G71" s="105"/>
      <c r="H71" s="105"/>
      <c r="I71" s="105"/>
      <c r="J71" s="105"/>
      <c r="K71" s="105"/>
    </row>
    <row r="72">
      <c r="B72" s="105"/>
      <c r="C72" s="105"/>
      <c r="D72" s="105"/>
      <c r="E72" s="105"/>
      <c r="F72" s="105"/>
      <c r="G72" s="105"/>
      <c r="H72" s="105"/>
      <c r="I72" s="105"/>
      <c r="J72" s="105"/>
      <c r="K72" s="105"/>
    </row>
    <row r="73">
      <c r="B73" s="105"/>
      <c r="C73" s="105"/>
      <c r="D73" s="105"/>
      <c r="E73" s="105"/>
      <c r="F73" s="105"/>
      <c r="G73" s="105"/>
      <c r="H73" s="105"/>
      <c r="I73" s="105"/>
      <c r="J73" s="105"/>
      <c r="K73" s="105"/>
    </row>
    <row r="74">
      <c r="B74" s="105"/>
      <c r="C74" s="105"/>
      <c r="D74" s="105"/>
      <c r="E74" s="105"/>
      <c r="F74" s="105"/>
      <c r="G74" s="105"/>
      <c r="H74" s="105"/>
      <c r="I74" s="105"/>
      <c r="J74" s="105"/>
      <c r="K74" s="105"/>
    </row>
    <row r="75">
      <c r="B75" s="105"/>
      <c r="C75" s="105"/>
      <c r="D75" s="105"/>
      <c r="E75" s="105"/>
      <c r="F75" s="105"/>
      <c r="G75" s="105"/>
      <c r="H75" s="105"/>
      <c r="I75" s="105"/>
      <c r="J75" s="105"/>
      <c r="K75" s="105"/>
    </row>
    <row r="76">
      <c r="B76" s="105"/>
      <c r="C76" s="105"/>
      <c r="D76" s="105"/>
      <c r="E76" s="105"/>
      <c r="F76" s="105"/>
      <c r="G76" s="105"/>
      <c r="H76" s="105"/>
      <c r="I76" s="105"/>
      <c r="J76" s="105"/>
      <c r="K76" s="105"/>
    </row>
    <row r="77">
      <c r="B77" s="105"/>
      <c r="C77" s="105"/>
      <c r="D77" s="105"/>
      <c r="E77" s="105"/>
      <c r="F77" s="105"/>
      <c r="G77" s="105"/>
      <c r="H77" s="105"/>
      <c r="I77" s="105"/>
      <c r="J77" s="105"/>
      <c r="K77" s="105"/>
    </row>
    <row r="78">
      <c r="B78" s="105"/>
      <c r="C78" s="105"/>
      <c r="D78" s="105"/>
      <c r="E78" s="105"/>
      <c r="F78" s="105"/>
      <c r="G78" s="105"/>
      <c r="H78" s="105"/>
      <c r="I78" s="105"/>
      <c r="J78" s="105"/>
      <c r="K78" s="105"/>
    </row>
    <row r="79">
      <c r="B79" s="105"/>
      <c r="C79" s="105"/>
      <c r="D79" s="105"/>
      <c r="E79" s="105"/>
      <c r="F79" s="105"/>
      <c r="G79" s="105"/>
      <c r="H79" s="105"/>
      <c r="I79" s="105"/>
      <c r="J79" s="105"/>
      <c r="K79" s="105"/>
    </row>
    <row r="80">
      <c r="B80" s="105"/>
      <c r="C80" s="105"/>
      <c r="D80" s="105"/>
      <c r="E80" s="105"/>
      <c r="F80" s="105"/>
      <c r="G80" s="105"/>
      <c r="H80" s="105"/>
      <c r="I80" s="105"/>
      <c r="J80" s="105"/>
      <c r="K80" s="105"/>
    </row>
    <row r="81">
      <c r="B81" s="105"/>
      <c r="C81" s="105"/>
      <c r="D81" s="105"/>
      <c r="E81" s="105"/>
      <c r="F81" s="105"/>
      <c r="G81" s="105"/>
      <c r="H81" s="105"/>
      <c r="I81" s="105"/>
      <c r="J81" s="105"/>
      <c r="K81" s="105"/>
    </row>
    <row r="82">
      <c r="B82" s="105"/>
      <c r="C82" s="105"/>
      <c r="D82" s="105"/>
      <c r="E82" s="105"/>
      <c r="F82" s="105"/>
      <c r="G82" s="105"/>
      <c r="H82" s="105"/>
      <c r="I82" s="105"/>
      <c r="J82" s="105"/>
      <c r="K82" s="105"/>
    </row>
    <row r="83">
      <c r="B83" s="105"/>
      <c r="C83" s="105"/>
      <c r="D83" s="105"/>
      <c r="E83" s="105"/>
      <c r="F83" s="105"/>
      <c r="G83" s="105"/>
      <c r="H83" s="105"/>
      <c r="I83" s="105"/>
      <c r="J83" s="105"/>
      <c r="K83" s="105"/>
    </row>
    <row r="84">
      <c r="B84" s="105"/>
      <c r="C84" s="105"/>
      <c r="D84" s="105"/>
      <c r="E84" s="105"/>
      <c r="F84" s="105"/>
      <c r="G84" s="105"/>
      <c r="H84" s="105"/>
      <c r="I84" s="105"/>
      <c r="J84" s="105"/>
      <c r="K84" s="105"/>
    </row>
    <row r="85">
      <c r="B85" s="105"/>
      <c r="C85" s="105"/>
      <c r="D85" s="105"/>
      <c r="E85" s="105"/>
      <c r="F85" s="105"/>
      <c r="G85" s="105"/>
      <c r="H85" s="105"/>
      <c r="I85" s="105"/>
      <c r="J85" s="105"/>
      <c r="K85" s="105"/>
    </row>
    <row r="86">
      <c r="B86" s="105"/>
      <c r="C86" s="105"/>
      <c r="D86" s="105"/>
      <c r="E86" s="105"/>
      <c r="F86" s="105"/>
      <c r="G86" s="105"/>
      <c r="H86" s="105"/>
      <c r="I86" s="105"/>
      <c r="J86" s="105"/>
      <c r="K86" s="105"/>
    </row>
    <row r="87">
      <c r="B87" s="105"/>
      <c r="C87" s="105"/>
      <c r="D87" s="105"/>
      <c r="E87" s="105"/>
      <c r="F87" s="105"/>
      <c r="G87" s="105"/>
      <c r="H87" s="105"/>
      <c r="I87" s="105"/>
      <c r="J87" s="105"/>
      <c r="K87" s="105"/>
    </row>
    <row r="88">
      <c r="B88" s="105"/>
      <c r="C88" s="105"/>
      <c r="D88" s="105"/>
      <c r="E88" s="105"/>
      <c r="F88" s="105"/>
      <c r="G88" s="105"/>
      <c r="H88" s="105"/>
      <c r="I88" s="105"/>
      <c r="J88" s="105"/>
      <c r="K88" s="105"/>
    </row>
    <row r="89">
      <c r="B89" s="105"/>
      <c r="C89" s="105"/>
      <c r="D89" s="105"/>
      <c r="E89" s="105"/>
      <c r="F89" s="105"/>
      <c r="G89" s="105"/>
      <c r="H89" s="105"/>
      <c r="I89" s="105"/>
      <c r="J89" s="105"/>
      <c r="K89" s="105"/>
    </row>
    <row r="90">
      <c r="B90" s="105"/>
      <c r="C90" s="105"/>
      <c r="D90" s="105"/>
      <c r="E90" s="105"/>
      <c r="F90" s="105"/>
      <c r="G90" s="105"/>
      <c r="H90" s="105"/>
      <c r="I90" s="105"/>
      <c r="J90" s="105"/>
      <c r="K90" s="105"/>
    </row>
    <row r="91">
      <c r="B91" s="105"/>
      <c r="C91" s="105"/>
      <c r="D91" s="105"/>
      <c r="E91" s="105"/>
      <c r="F91" s="105"/>
      <c r="G91" s="105"/>
      <c r="H91" s="105"/>
      <c r="I91" s="105"/>
      <c r="J91" s="105"/>
      <c r="K91" s="105"/>
    </row>
    <row r="92">
      <c r="B92" s="105"/>
      <c r="C92" s="105"/>
      <c r="D92" s="105"/>
      <c r="E92" s="105"/>
      <c r="F92" s="105"/>
      <c r="G92" s="105"/>
      <c r="H92" s="105"/>
      <c r="I92" s="105"/>
      <c r="J92" s="105"/>
      <c r="K92" s="105"/>
    </row>
    <row r="93">
      <c r="B93" s="105"/>
      <c r="C93" s="105"/>
      <c r="D93" s="105"/>
      <c r="E93" s="105"/>
      <c r="F93" s="105"/>
      <c r="G93" s="105"/>
      <c r="H93" s="105"/>
      <c r="I93" s="105"/>
      <c r="J93" s="105"/>
      <c r="K93" s="105"/>
    </row>
    <row r="94">
      <c r="B94" s="105"/>
      <c r="C94" s="105"/>
      <c r="D94" s="105"/>
      <c r="E94" s="105"/>
      <c r="F94" s="105"/>
      <c r="G94" s="105"/>
      <c r="H94" s="105"/>
      <c r="I94" s="105"/>
      <c r="J94" s="105"/>
      <c r="K94" s="105"/>
    </row>
    <row r="95">
      <c r="B95" s="105"/>
      <c r="C95" s="105"/>
      <c r="D95" s="105"/>
      <c r="E95" s="105"/>
      <c r="F95" s="105"/>
      <c r="G95" s="105"/>
      <c r="H95" s="105"/>
      <c r="I95" s="105"/>
      <c r="J95" s="105"/>
      <c r="K95" s="105"/>
    </row>
    <row r="96">
      <c r="B96" s="105"/>
      <c r="C96" s="105"/>
      <c r="D96" s="105"/>
      <c r="E96" s="105"/>
      <c r="F96" s="105"/>
      <c r="G96" s="105"/>
      <c r="H96" s="105"/>
      <c r="I96" s="105"/>
      <c r="J96" s="105"/>
      <c r="K96" s="105"/>
    </row>
    <row r="97">
      <c r="B97" s="105"/>
      <c r="C97" s="105"/>
      <c r="D97" s="105"/>
      <c r="E97" s="105"/>
      <c r="F97" s="105"/>
      <c r="G97" s="105"/>
      <c r="H97" s="105"/>
      <c r="I97" s="105"/>
      <c r="J97" s="105"/>
      <c r="K97" s="105"/>
    </row>
    <row r="98">
      <c r="B98" s="105"/>
      <c r="C98" s="105"/>
      <c r="D98" s="105"/>
      <c r="E98" s="105"/>
      <c r="F98" s="105"/>
      <c r="G98" s="105"/>
      <c r="H98" s="105"/>
      <c r="I98" s="105"/>
      <c r="J98" s="105"/>
      <c r="K98" s="105"/>
    </row>
    <row r="99">
      <c r="B99" s="105"/>
      <c r="C99" s="105"/>
      <c r="D99" s="105"/>
      <c r="E99" s="105"/>
      <c r="F99" s="105"/>
      <c r="G99" s="105"/>
      <c r="H99" s="105"/>
      <c r="I99" s="105"/>
      <c r="J99" s="105"/>
      <c r="K99" s="105"/>
    </row>
    <row r="100"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</row>
    <row r="101"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</row>
    <row r="102"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</row>
    <row r="103"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</row>
    <row r="104"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</row>
    <row r="105"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</row>
    <row r="106"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</row>
    <row r="107"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</row>
    <row r="108"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</row>
    <row r="109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</row>
    <row r="110"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</row>
    <row r="111"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</row>
    <row r="112"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</row>
    <row r="113"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</row>
    <row r="114"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</row>
    <row r="115"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</row>
    <row r="116"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</row>
    <row r="117"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</row>
    <row r="118"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</row>
    <row r="119"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</row>
    <row r="120"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</row>
    <row r="121"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</row>
    <row r="122"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</row>
    <row r="123"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</row>
    <row r="124"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</row>
    <row r="125"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</row>
    <row r="126"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</row>
    <row r="127"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</row>
    <row r="128"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</row>
    <row r="129"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</row>
    <row r="130"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</row>
    <row r="131"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</row>
    <row r="132"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</row>
    <row r="133"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</row>
    <row r="134"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</row>
    <row r="135"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</row>
    <row r="136"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</row>
    <row r="137"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</row>
    <row r="138"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</row>
    <row r="139"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</row>
    <row r="140"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</row>
    <row r="141"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</row>
    <row r="142"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</row>
    <row r="143"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</row>
    <row r="144"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</row>
    <row r="145"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</row>
    <row r="146"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</row>
    <row r="147"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</row>
    <row r="148"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</row>
    <row r="149"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</row>
    <row r="150"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</row>
    <row r="151"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</row>
    <row r="152"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</row>
    <row r="153"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</row>
    <row r="154"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</row>
    <row r="155"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</row>
    <row r="156"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</row>
    <row r="157"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</row>
    <row r="158"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</row>
    <row r="159"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</row>
    <row r="160"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</row>
    <row r="161"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</row>
    <row r="162"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</row>
    <row r="163"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</row>
    <row r="164"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</row>
    <row r="165"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</row>
    <row r="166"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</row>
    <row r="167"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</row>
    <row r="168"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</row>
    <row r="169"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</row>
    <row r="170"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</row>
    <row r="171"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</row>
    <row r="172"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</row>
    <row r="173"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</row>
    <row r="174"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</row>
    <row r="175"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</row>
    <row r="176"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</row>
    <row r="177"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</row>
    <row r="178"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</row>
    <row r="179"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</row>
    <row r="180"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</row>
    <row r="181"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</row>
    <row r="182"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</row>
    <row r="183"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</row>
    <row r="184"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</row>
    <row r="185"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</row>
    <row r="186"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</row>
    <row r="187"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</row>
    <row r="188"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</row>
    <row r="189"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</row>
    <row r="190"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</row>
    <row r="191"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</row>
    <row r="192"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</row>
    <row r="193"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</row>
    <row r="194"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</row>
    <row r="195"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</row>
    <row r="196"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</row>
    <row r="197"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</row>
    <row r="198"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</row>
    <row r="199"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</row>
    <row r="200"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</row>
    <row r="201"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</row>
    <row r="202"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</row>
    <row r="203"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</row>
    <row r="204"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</row>
    <row r="205"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</row>
    <row r="206"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</row>
    <row r="207"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</row>
    <row r="208"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</row>
    <row r="209"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</row>
    <row r="210"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</row>
    <row r="211"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</row>
    <row r="212"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</row>
    <row r="213"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</row>
    <row r="214"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</row>
    <row r="215"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</row>
    <row r="216"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</row>
    <row r="217"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</row>
    <row r="218"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</row>
    <row r="219"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</row>
    <row r="220"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</row>
    <row r="221"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</row>
    <row r="222"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</row>
    <row r="223"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</row>
    <row r="224"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</row>
    <row r="225"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</row>
    <row r="226"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</row>
    <row r="227"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</row>
    <row r="228"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</row>
    <row r="229"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</row>
    <row r="230"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</row>
    <row r="231"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</row>
    <row r="232"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</row>
    <row r="233"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</row>
    <row r="234"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</row>
    <row r="235"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</row>
    <row r="236"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</row>
    <row r="237"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</row>
    <row r="238"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</row>
    <row r="239"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</row>
    <row r="240"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</row>
    <row r="241"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</row>
    <row r="242"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</row>
    <row r="243"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</row>
    <row r="244"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</row>
    <row r="245"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</row>
    <row r="246"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</row>
    <row r="247"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</row>
    <row r="248"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</row>
    <row r="249"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</row>
    <row r="250"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</row>
    <row r="251"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</row>
    <row r="252"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</row>
    <row r="253"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</row>
    <row r="254"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</row>
    <row r="255"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</row>
    <row r="256"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</row>
    <row r="257"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</row>
    <row r="258"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</row>
    <row r="259"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</row>
    <row r="260"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</row>
    <row r="261"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</row>
    <row r="262"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</row>
    <row r="263"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</row>
    <row r="264"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</row>
    <row r="265"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</row>
    <row r="266"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</row>
    <row r="267"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</row>
    <row r="268"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</row>
    <row r="269"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</row>
    <row r="270"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</row>
    <row r="271"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</row>
    <row r="272"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</row>
    <row r="273"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</row>
    <row r="274"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</row>
    <row r="275"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</row>
    <row r="276"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</row>
    <row r="277"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</row>
    <row r="278"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</row>
    <row r="279"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</row>
    <row r="280"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</row>
    <row r="281"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</row>
    <row r="282"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</row>
    <row r="283"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</row>
    <row r="284"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</row>
    <row r="285"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</row>
    <row r="286"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</row>
    <row r="287"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</row>
    <row r="288"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</row>
    <row r="289"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</row>
    <row r="290"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</row>
    <row r="291"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</row>
    <row r="292"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</row>
    <row r="293"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</row>
    <row r="294"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</row>
    <row r="295"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</row>
    <row r="296"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</row>
    <row r="297"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</row>
    <row r="298"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</row>
    <row r="299"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</row>
    <row r="300"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</row>
    <row r="301"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</row>
    <row r="302"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</row>
    <row r="303"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</row>
    <row r="304"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</row>
    <row r="305"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</row>
    <row r="306"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</row>
    <row r="307"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</row>
    <row r="308"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</row>
    <row r="309"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</row>
    <row r="310"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</row>
    <row r="311"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</row>
    <row r="312"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</row>
    <row r="313"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</row>
    <row r="314"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</row>
    <row r="315"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</row>
    <row r="316"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</row>
    <row r="317"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</row>
    <row r="318"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</row>
    <row r="319"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</row>
    <row r="320"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</row>
    <row r="321"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</row>
    <row r="322"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</row>
    <row r="323"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</row>
    <row r="324"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</row>
    <row r="325"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</row>
    <row r="326"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</row>
    <row r="327"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</row>
    <row r="328"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</row>
    <row r="329"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</row>
    <row r="330"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</row>
    <row r="331"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</row>
    <row r="332"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</row>
    <row r="333"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</row>
    <row r="334"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</row>
    <row r="335"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</row>
    <row r="336"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</row>
    <row r="337"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</row>
    <row r="338"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</row>
    <row r="339"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</row>
    <row r="340"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</row>
    <row r="341"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</row>
    <row r="342"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</row>
    <row r="343"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</row>
    <row r="344"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</row>
    <row r="345"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</row>
    <row r="346"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</row>
    <row r="347"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</row>
    <row r="348"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</row>
    <row r="349"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</row>
    <row r="350"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</row>
    <row r="351"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</row>
    <row r="352"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</row>
    <row r="353"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</row>
    <row r="354"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</row>
    <row r="355"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</row>
    <row r="356"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</row>
    <row r="357"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</row>
    <row r="358"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</row>
    <row r="359"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</row>
    <row r="360"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</row>
    <row r="361"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</row>
    <row r="362"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</row>
    <row r="363"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</row>
    <row r="364"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</row>
    <row r="365"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</row>
    <row r="366"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</row>
    <row r="367"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</row>
    <row r="368"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</row>
    <row r="369"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</row>
    <row r="370"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</row>
    <row r="371"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</row>
    <row r="372"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</row>
    <row r="373"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</row>
    <row r="374"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</row>
    <row r="375"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</row>
    <row r="376"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</row>
    <row r="377"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</row>
    <row r="378"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</row>
    <row r="379"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</row>
    <row r="380"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</row>
    <row r="381"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</row>
    <row r="382"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</row>
    <row r="383"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</row>
    <row r="384"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</row>
    <row r="385"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</row>
    <row r="386"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</row>
    <row r="387"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</row>
    <row r="388"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</row>
    <row r="389"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</row>
    <row r="390"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</row>
    <row r="391"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</row>
    <row r="392"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</row>
    <row r="393"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</row>
    <row r="394"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</row>
    <row r="395"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</row>
    <row r="396"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</row>
    <row r="397"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</row>
    <row r="398"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</row>
    <row r="399"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</row>
    <row r="400"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</row>
    <row r="401"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</row>
    <row r="402"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</row>
    <row r="403"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</row>
    <row r="404"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</row>
    <row r="405"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</row>
    <row r="406"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</row>
    <row r="407"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</row>
    <row r="408"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</row>
    <row r="409"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</row>
    <row r="410"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</row>
    <row r="411"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</row>
    <row r="412"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</row>
    <row r="413"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</row>
    <row r="414"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</row>
    <row r="415"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</row>
    <row r="416"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</row>
    <row r="417"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</row>
    <row r="418"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</row>
    <row r="419"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</row>
    <row r="420"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</row>
    <row r="421"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</row>
    <row r="422"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</row>
    <row r="423"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</row>
    <row r="424"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</row>
    <row r="425"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</row>
    <row r="426"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</row>
    <row r="427"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</row>
    <row r="428"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</row>
    <row r="429"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</row>
    <row r="430"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</row>
    <row r="431"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</row>
    <row r="432"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</row>
    <row r="433"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</row>
    <row r="434"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</row>
    <row r="435"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</row>
    <row r="436"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</row>
    <row r="437"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</row>
    <row r="438"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</row>
    <row r="439"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</row>
    <row r="440"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</row>
    <row r="441"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</row>
    <row r="442"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</row>
    <row r="443"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</row>
    <row r="444"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</row>
    <row r="445"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</row>
    <row r="446"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</row>
    <row r="447"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</row>
    <row r="448"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</row>
    <row r="449"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</row>
    <row r="450"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</row>
    <row r="451"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</row>
    <row r="452"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</row>
    <row r="453"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</row>
    <row r="454"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</row>
    <row r="455"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</row>
    <row r="456"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</row>
    <row r="457"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</row>
    <row r="458"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</row>
    <row r="459"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</row>
    <row r="460"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</row>
    <row r="461"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</row>
    <row r="462"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</row>
    <row r="463"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</row>
    <row r="464"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</row>
    <row r="465"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</row>
    <row r="466"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</row>
    <row r="467"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</row>
    <row r="468"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</row>
    <row r="469"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</row>
    <row r="470"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</row>
    <row r="471"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</row>
    <row r="472"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</row>
    <row r="473"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</row>
    <row r="474"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</row>
    <row r="475"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</row>
    <row r="476"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</row>
    <row r="477"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</row>
    <row r="478"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</row>
    <row r="479"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</row>
    <row r="480"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</row>
    <row r="481"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</row>
    <row r="482"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</row>
    <row r="483"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</row>
    <row r="484"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</row>
    <row r="485"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</row>
    <row r="486"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</row>
    <row r="487"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</row>
    <row r="488"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</row>
    <row r="489"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</row>
    <row r="490"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</row>
    <row r="491"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</row>
    <row r="492"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</row>
    <row r="493"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</row>
    <row r="494"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</row>
    <row r="495"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</row>
    <row r="496"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</row>
    <row r="497"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</row>
    <row r="498"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</row>
    <row r="499"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</row>
    <row r="500"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</row>
    <row r="501"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</row>
    <row r="502"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</row>
    <row r="503"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</row>
    <row r="504"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</row>
    <row r="505"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</row>
    <row r="506"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</row>
    <row r="507"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</row>
    <row r="508"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</row>
    <row r="509"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</row>
    <row r="510"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</row>
    <row r="511"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</row>
    <row r="512"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</row>
    <row r="513"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</row>
    <row r="514"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</row>
    <row r="515"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</row>
    <row r="516"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</row>
    <row r="517"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</row>
    <row r="518"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</row>
    <row r="519"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</row>
    <row r="520"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</row>
    <row r="521"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</row>
    <row r="522"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</row>
    <row r="523"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</row>
    <row r="524"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</row>
    <row r="525"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</row>
    <row r="526"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</row>
    <row r="527"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</row>
    <row r="528"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</row>
    <row r="529"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</row>
    <row r="530"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</row>
    <row r="531"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</row>
    <row r="532"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</row>
    <row r="533"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</row>
    <row r="534"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</row>
    <row r="535"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</row>
    <row r="536"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</row>
    <row r="537"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</row>
    <row r="538"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</row>
    <row r="539"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</row>
    <row r="540"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</row>
    <row r="541"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</row>
    <row r="542"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</row>
    <row r="543"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</row>
    <row r="544"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</row>
    <row r="545"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</row>
    <row r="546"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</row>
    <row r="547"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</row>
    <row r="548"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</row>
    <row r="549"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</row>
    <row r="550"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</row>
    <row r="551"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</row>
    <row r="552"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</row>
    <row r="553"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</row>
    <row r="554"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</row>
    <row r="555"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</row>
    <row r="556"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</row>
    <row r="557"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</row>
    <row r="558"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</row>
    <row r="559"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</row>
    <row r="560"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</row>
    <row r="561"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</row>
    <row r="562"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</row>
    <row r="563"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</row>
    <row r="564"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</row>
    <row r="565"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</row>
    <row r="566"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</row>
    <row r="567"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</row>
    <row r="568"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</row>
    <row r="569"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</row>
    <row r="570"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</row>
    <row r="571"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</row>
    <row r="572"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</row>
    <row r="573"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</row>
    <row r="574"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</row>
    <row r="575"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</row>
    <row r="576"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</row>
    <row r="577"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</row>
    <row r="578"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</row>
    <row r="579"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</row>
    <row r="580"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</row>
    <row r="581"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</row>
    <row r="582"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</row>
    <row r="583"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</row>
    <row r="584"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</row>
    <row r="585"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</row>
    <row r="586"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</row>
    <row r="587"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</row>
    <row r="588"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</row>
    <row r="589"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</row>
    <row r="590"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</row>
    <row r="591"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</row>
    <row r="592"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</row>
    <row r="593"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</row>
    <row r="594"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</row>
    <row r="595"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</row>
    <row r="596"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</row>
    <row r="597"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</row>
    <row r="598"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</row>
    <row r="599"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</row>
    <row r="600"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</row>
    <row r="601"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</row>
    <row r="602"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</row>
    <row r="603"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</row>
    <row r="604"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</row>
    <row r="605"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</row>
    <row r="606"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</row>
    <row r="607"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</row>
    <row r="608"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</row>
    <row r="609"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</row>
    <row r="610"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</row>
    <row r="611"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</row>
    <row r="612"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</row>
    <row r="613"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</row>
    <row r="614"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</row>
    <row r="615"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</row>
    <row r="616"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</row>
    <row r="617"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</row>
    <row r="618"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</row>
    <row r="619"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</row>
    <row r="620"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</row>
    <row r="621"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</row>
    <row r="622"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</row>
    <row r="623"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</row>
    <row r="624"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</row>
    <row r="625"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</row>
    <row r="626"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</row>
    <row r="627"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</row>
    <row r="628"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</row>
    <row r="629"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</row>
    <row r="630"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</row>
    <row r="631"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</row>
    <row r="632"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</row>
    <row r="633"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</row>
    <row r="634"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</row>
    <row r="635"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</row>
    <row r="636"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</row>
    <row r="637"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</row>
    <row r="638"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</row>
    <row r="639"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</row>
    <row r="640"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</row>
    <row r="641"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</row>
    <row r="642"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</row>
    <row r="643"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</row>
    <row r="644"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</row>
    <row r="645"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</row>
    <row r="646"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</row>
    <row r="647"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</row>
    <row r="648"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</row>
    <row r="649"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</row>
    <row r="650"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</row>
    <row r="651"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</row>
    <row r="652"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</row>
    <row r="653"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</row>
    <row r="654"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</row>
    <row r="655"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</row>
    <row r="656"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</row>
    <row r="657"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</row>
    <row r="658"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</row>
    <row r="659"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</row>
    <row r="660"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</row>
    <row r="661"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</row>
    <row r="662"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</row>
    <row r="663"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</row>
    <row r="664"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</row>
    <row r="665"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</row>
    <row r="666"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</row>
    <row r="667"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</row>
    <row r="668"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</row>
    <row r="669"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</row>
    <row r="670"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</row>
    <row r="671"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</row>
    <row r="672"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</row>
    <row r="673"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</row>
    <row r="674"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</row>
    <row r="675"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</row>
    <row r="676"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</row>
    <row r="677"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</row>
    <row r="678"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</row>
    <row r="679"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</row>
    <row r="680"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</row>
    <row r="681"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</row>
    <row r="682"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</row>
    <row r="683"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</row>
    <row r="684"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</row>
    <row r="685"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</row>
    <row r="686"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</row>
    <row r="687"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</row>
    <row r="688"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</row>
    <row r="689"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</row>
    <row r="690"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</row>
    <row r="691"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</row>
    <row r="692"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</row>
    <row r="693"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</row>
    <row r="694"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</row>
    <row r="695"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</row>
    <row r="696"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</row>
    <row r="697"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</row>
    <row r="698"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</row>
    <row r="699"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</row>
    <row r="700"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</row>
    <row r="701"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</row>
    <row r="702"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</row>
    <row r="703"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</row>
    <row r="704"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</row>
    <row r="705"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</row>
    <row r="706"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</row>
    <row r="707"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</row>
    <row r="708"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</row>
    <row r="709"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</row>
    <row r="710"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</row>
    <row r="711"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</row>
    <row r="712"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</row>
    <row r="713"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</row>
    <row r="714"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</row>
    <row r="715"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</row>
    <row r="716"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</row>
    <row r="717"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</row>
    <row r="718"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</row>
    <row r="719"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</row>
    <row r="720"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</row>
    <row r="721"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</row>
    <row r="722"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</row>
    <row r="723"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</row>
    <row r="724"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</row>
    <row r="725"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</row>
    <row r="726"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</row>
    <row r="727"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</row>
    <row r="728"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</row>
    <row r="729"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</row>
    <row r="730"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</row>
    <row r="731"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</row>
    <row r="732"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</row>
    <row r="733"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</row>
    <row r="734"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</row>
    <row r="735"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</row>
    <row r="736"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</row>
    <row r="737"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</row>
    <row r="738"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</row>
    <row r="739"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</row>
    <row r="740"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</row>
    <row r="741"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</row>
    <row r="742"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</row>
    <row r="743"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</row>
    <row r="744"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</row>
    <row r="745"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</row>
    <row r="746"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</row>
    <row r="747"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</row>
    <row r="748"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</row>
    <row r="749"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</row>
    <row r="750"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</row>
    <row r="751"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</row>
    <row r="752"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</row>
    <row r="753"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</row>
    <row r="754"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</row>
    <row r="755"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</row>
    <row r="756"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</row>
    <row r="757"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</row>
    <row r="758"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</row>
    <row r="759"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</row>
    <row r="760"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</row>
    <row r="761"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</row>
    <row r="762"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</row>
    <row r="763"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</row>
    <row r="764"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</row>
    <row r="765"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</row>
    <row r="766"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</row>
    <row r="767"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</row>
    <row r="768"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</row>
    <row r="769"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</row>
    <row r="770"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</row>
    <row r="771"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</row>
    <row r="772"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</row>
    <row r="773"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</row>
    <row r="774"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</row>
    <row r="775"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</row>
    <row r="776"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</row>
    <row r="777"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</row>
    <row r="778"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</row>
    <row r="779"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</row>
    <row r="780"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</row>
    <row r="781"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</row>
    <row r="782"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</row>
    <row r="783"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</row>
    <row r="784"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</row>
    <row r="785"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</row>
    <row r="786"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</row>
    <row r="787"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</row>
    <row r="788"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</row>
    <row r="789"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</row>
    <row r="790"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</row>
    <row r="791"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</row>
    <row r="792"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</row>
    <row r="793"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</row>
    <row r="794"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</row>
    <row r="795"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</row>
    <row r="796"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</row>
    <row r="797"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</row>
    <row r="798"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</row>
    <row r="799"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</row>
    <row r="800"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</row>
    <row r="801"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</row>
    <row r="802"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</row>
    <row r="803"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</row>
    <row r="804"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</row>
    <row r="805"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</row>
    <row r="806"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</row>
    <row r="807"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</row>
    <row r="808"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</row>
    <row r="809"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</row>
    <row r="810"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</row>
    <row r="811"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</row>
    <row r="812"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</row>
    <row r="813"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</row>
    <row r="814"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</row>
    <row r="815"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</row>
    <row r="816"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</row>
    <row r="817"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</row>
    <row r="818"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</row>
    <row r="819"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</row>
    <row r="820"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</row>
    <row r="821"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</row>
    <row r="822"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</row>
    <row r="823"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</row>
    <row r="824"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</row>
    <row r="825"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</row>
    <row r="826"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</row>
    <row r="827"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</row>
    <row r="828"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</row>
    <row r="829"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</row>
    <row r="830"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</row>
    <row r="831"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</row>
    <row r="832"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</row>
    <row r="833"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</row>
    <row r="834"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</row>
    <row r="835"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</row>
    <row r="836"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</row>
    <row r="837"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</row>
    <row r="838"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</row>
    <row r="839"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</row>
    <row r="840"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</row>
    <row r="841"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</row>
    <row r="842"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</row>
    <row r="843"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</row>
    <row r="844"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</row>
    <row r="845"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</row>
    <row r="846"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</row>
    <row r="847"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</row>
    <row r="848"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</row>
    <row r="849"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</row>
    <row r="850"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</row>
    <row r="851"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</row>
    <row r="852"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</row>
    <row r="853"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</row>
    <row r="854"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</row>
    <row r="855"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</row>
    <row r="856"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</row>
    <row r="857"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</row>
    <row r="858"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</row>
    <row r="859"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</row>
    <row r="860"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</row>
    <row r="861"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</row>
    <row r="862"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</row>
    <row r="863"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</row>
    <row r="864"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</row>
    <row r="865"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</row>
    <row r="866"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</row>
    <row r="867"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</row>
    <row r="868"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</row>
    <row r="869"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</row>
    <row r="870"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</row>
    <row r="871"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</row>
    <row r="872"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</row>
    <row r="873"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</row>
    <row r="874"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</row>
    <row r="875"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</row>
    <row r="876"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</row>
    <row r="877"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</row>
    <row r="878"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</row>
    <row r="879"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</row>
    <row r="880"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</row>
    <row r="881"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</row>
    <row r="882"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</row>
    <row r="883"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</row>
    <row r="884"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</row>
    <row r="885"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</row>
    <row r="886"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</row>
    <row r="887"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</row>
    <row r="888"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</row>
    <row r="889"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</row>
    <row r="890"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</row>
    <row r="891"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</row>
    <row r="892"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</row>
    <row r="893"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</row>
    <row r="894"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</row>
    <row r="895"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</row>
    <row r="896"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</row>
    <row r="897"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</row>
    <row r="898"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</row>
    <row r="899"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</row>
    <row r="900"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</row>
    <row r="901"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</row>
    <row r="902"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</row>
    <row r="903"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</row>
    <row r="904"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</row>
    <row r="905"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</row>
    <row r="906"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</row>
    <row r="907"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</row>
    <row r="908"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</row>
    <row r="909"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</row>
    <row r="910"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</row>
    <row r="911"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</row>
    <row r="912"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</row>
    <row r="913"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</row>
    <row r="914"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</row>
    <row r="915"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</row>
    <row r="916"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</row>
    <row r="917"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</row>
    <row r="918"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</row>
    <row r="919"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</row>
    <row r="920"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</row>
    <row r="921"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</row>
    <row r="922"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</row>
    <row r="923"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</row>
    <row r="924"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</row>
    <row r="925"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</row>
    <row r="926"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</row>
    <row r="927"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</row>
    <row r="928"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</row>
    <row r="929"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</row>
    <row r="930"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</row>
    <row r="931"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</row>
    <row r="932"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</row>
    <row r="933"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</row>
    <row r="934"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</row>
    <row r="935"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</row>
    <row r="936"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</row>
    <row r="937"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</row>
    <row r="938"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</row>
    <row r="939"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</row>
    <row r="940"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</row>
    <row r="941"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</row>
    <row r="942"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</row>
    <row r="943"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</row>
    <row r="944"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</row>
    <row r="945"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</row>
    <row r="946"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</row>
    <row r="947"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</row>
    <row r="948"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</row>
    <row r="949"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</row>
    <row r="950"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</row>
    <row r="951"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</row>
    <row r="952"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</row>
    <row r="953"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</row>
    <row r="954"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</row>
    <row r="955"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</row>
    <row r="956"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</row>
    <row r="957"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</row>
    <row r="958"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</row>
    <row r="959"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</row>
    <row r="960"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</row>
    <row r="961"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</row>
    <row r="962"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</row>
    <row r="963"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</row>
    <row r="964"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</row>
    <row r="965"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</row>
    <row r="966"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</row>
    <row r="967"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</row>
    <row r="968"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</row>
    <row r="969"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</row>
    <row r="970"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</row>
    <row r="971"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</row>
    <row r="972"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</row>
    <row r="973"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</row>
    <row r="974"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</row>
    <row r="975"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</row>
    <row r="976"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</row>
    <row r="977"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</row>
    <row r="978"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</row>
    <row r="979"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</row>
    <row r="980"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</row>
    <row r="981"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</row>
    <row r="982"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</row>
    <row r="983"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</row>
    <row r="984"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</row>
    <row r="985"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</row>
    <row r="986"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</row>
    <row r="987"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</row>
    <row r="988"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</row>
    <row r="989"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</row>
    <row r="990"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</row>
    <row r="991"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</row>
    <row r="992"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</row>
    <row r="993"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</row>
    <row r="994"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</row>
    <row r="995"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</row>
    <row r="996"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</row>
    <row r="997"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</row>
    <row r="998"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</row>
    <row r="999"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</row>
    <row r="1000"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</row>
  </sheetData>
  <dataValidations>
    <dataValidation type="list" allowBlank="1" sqref="B9:K9">
      <formula1>"ВАК,Scopus,WoS,Conference Proceedings,Прочее"</formula1>
    </dataValidation>
    <dataValidation type="list" allowBlank="1" sqref="B26:K26">
      <formula1>"произведения науки, литературы и искусства,программы для ЭВМ,базы данных,исполнения,фонограммы,сообщение в эфир или по кабелю радио- или телепередач (вещание организаций эфирного или кабельного вещания),изобретения,полезные модели,промышленные образцы,сел"&amp;"екционные достижения,топологии интегральных микросхем,секреты производства (""ноу-хау""),фирменные наименования,товарные знаки и знаки обслуживания,наименования мест происхождения товаров,коммерческие обозначения"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36.75"/>
    <col customWidth="1" min="3" max="3" width="14.38"/>
    <col customWidth="1" min="4" max="4" width="6.0"/>
    <col customWidth="1" min="5" max="5" width="12.63"/>
    <col customWidth="1" min="6" max="6" width="13.75"/>
    <col customWidth="1" min="8" max="8" width="15.25"/>
    <col customWidth="1" min="9" max="9" width="41.0"/>
    <col customWidth="1" min="10" max="10" width="23.38"/>
    <col customWidth="1" min="11" max="11" width="8.0"/>
    <col customWidth="1" min="12" max="12" width="41.75"/>
    <col customWidth="1" min="13" max="13" width="12.63"/>
    <col customWidth="1" min="14" max="14" width="4.13"/>
    <col customWidth="1" min="15" max="15" width="6.25"/>
  </cols>
  <sheetData>
    <row r="1">
      <c r="A1" s="107" t="s">
        <v>532</v>
      </c>
      <c r="B1" s="107" t="s">
        <v>533</v>
      </c>
      <c r="C1" s="107" t="s">
        <v>534</v>
      </c>
      <c r="D1" s="107" t="s">
        <v>535</v>
      </c>
      <c r="E1" s="108" t="s">
        <v>536</v>
      </c>
      <c r="F1" s="108" t="s">
        <v>537</v>
      </c>
      <c r="G1" s="108" t="s">
        <v>538</v>
      </c>
      <c r="H1" s="107" t="s">
        <v>539</v>
      </c>
      <c r="I1" s="107" t="s">
        <v>540</v>
      </c>
      <c r="J1" s="107" t="s">
        <v>541</v>
      </c>
      <c r="K1" s="107" t="s">
        <v>542</v>
      </c>
      <c r="L1" s="107" t="s">
        <v>543</v>
      </c>
    </row>
    <row r="2">
      <c r="A2" s="109">
        <v>1.0</v>
      </c>
      <c r="B2" s="110"/>
      <c r="C2" s="110"/>
      <c r="D2" s="109"/>
      <c r="E2" s="111"/>
      <c r="F2" s="109"/>
      <c r="G2" s="112" t="str">
        <f t="shared" ref="G2:G92" si="1">if(F2*D2=0,"",F2*D2)</f>
        <v/>
      </c>
      <c r="H2" s="110"/>
      <c r="I2" s="113"/>
      <c r="J2" s="110" t="s">
        <v>544</v>
      </c>
      <c r="K2" s="114"/>
      <c r="L2" s="115" t="s">
        <v>545</v>
      </c>
      <c r="M2" s="112">
        <f>sum(G2:G92)</f>
        <v>0</v>
      </c>
      <c r="N2" s="115" t="s">
        <v>546</v>
      </c>
      <c r="O2" s="115"/>
    </row>
    <row r="3">
      <c r="A3" s="109">
        <v>2.0</v>
      </c>
      <c r="B3" s="116"/>
      <c r="C3" s="110"/>
      <c r="D3" s="109"/>
      <c r="E3" s="111"/>
      <c r="F3" s="117"/>
      <c r="G3" s="112" t="str">
        <f t="shared" si="1"/>
        <v/>
      </c>
      <c r="H3" s="118"/>
      <c r="I3" s="116"/>
      <c r="J3" s="110"/>
      <c r="K3" s="114"/>
      <c r="L3" s="115" t="s">
        <v>547</v>
      </c>
      <c r="M3" s="112">
        <f>SUMIF(J2:J92,"ЦПД",G2:G92)</f>
        <v>0</v>
      </c>
      <c r="N3" s="115" t="s">
        <v>546</v>
      </c>
      <c r="O3" s="119">
        <f t="shared" ref="O3:O7" si="2">IFERROR(M3/M$2,0)</f>
        <v>0</v>
      </c>
    </row>
    <row r="4">
      <c r="A4" s="109">
        <v>3.0</v>
      </c>
      <c r="B4" s="110"/>
      <c r="C4" s="110"/>
      <c r="D4" s="109"/>
      <c r="E4" s="111"/>
      <c r="F4" s="109"/>
      <c r="G4" s="112" t="str">
        <f t="shared" si="1"/>
        <v/>
      </c>
      <c r="H4" s="110"/>
      <c r="I4" s="110"/>
      <c r="J4" s="110"/>
      <c r="K4" s="120"/>
      <c r="L4" s="121" t="s">
        <v>548</v>
      </c>
      <c r="M4" s="112">
        <f>SUMIF(J2:J92,"Иные подразделения вуза",G2:G92)</f>
        <v>0</v>
      </c>
      <c r="N4" s="115" t="s">
        <v>546</v>
      </c>
      <c r="O4" s="119">
        <f t="shared" si="2"/>
        <v>0</v>
      </c>
    </row>
    <row r="5">
      <c r="A5" s="109">
        <v>4.0</v>
      </c>
      <c r="B5" s="110"/>
      <c r="C5" s="110"/>
      <c r="D5" s="109"/>
      <c r="E5" s="111"/>
      <c r="F5" s="109"/>
      <c r="G5" s="112" t="str">
        <f t="shared" si="1"/>
        <v/>
      </c>
      <c r="H5" s="110"/>
      <c r="I5" s="110"/>
      <c r="J5" s="110"/>
      <c r="K5" s="122"/>
      <c r="L5" s="115" t="s">
        <v>549</v>
      </c>
      <c r="M5" s="112">
        <f>SUMIF(J2:J92,"Заказчик",G2:G92)</f>
        <v>0</v>
      </c>
      <c r="N5" s="115" t="s">
        <v>546</v>
      </c>
      <c r="O5" s="119">
        <f t="shared" si="2"/>
        <v>0</v>
      </c>
    </row>
    <row r="6">
      <c r="A6" s="109">
        <v>5.0</v>
      </c>
      <c r="B6" s="110"/>
      <c r="C6" s="110"/>
      <c r="D6" s="109"/>
      <c r="E6" s="111"/>
      <c r="F6" s="109"/>
      <c r="G6" s="112" t="str">
        <f t="shared" si="1"/>
        <v/>
      </c>
      <c r="H6" s="110"/>
      <c r="I6" s="110"/>
      <c r="J6" s="110"/>
      <c r="K6" s="122"/>
      <c r="L6" s="121" t="s">
        <v>550</v>
      </c>
      <c r="M6" s="112">
        <f>SUMIF(J2:J92,"Партнёр/спонсор",G2:G92)</f>
        <v>0</v>
      </c>
      <c r="N6" s="115" t="s">
        <v>546</v>
      </c>
      <c r="O6" s="119">
        <f t="shared" si="2"/>
        <v>0</v>
      </c>
    </row>
    <row r="7">
      <c r="A7" s="109">
        <v>6.0</v>
      </c>
      <c r="B7" s="110"/>
      <c r="C7" s="123"/>
      <c r="D7" s="109"/>
      <c r="E7" s="111"/>
      <c r="F7" s="124"/>
      <c r="G7" s="112" t="str">
        <f t="shared" si="1"/>
        <v/>
      </c>
      <c r="H7" s="125"/>
      <c r="I7" s="110"/>
      <c r="J7" s="110"/>
      <c r="K7" s="122"/>
      <c r="L7" s="126" t="s">
        <v>551</v>
      </c>
      <c r="M7" s="127">
        <f>SUMIF(J2:J92,"Личные средства",G2:G92)</f>
        <v>0</v>
      </c>
      <c r="N7" s="115" t="s">
        <v>546</v>
      </c>
      <c r="O7" s="119">
        <f t="shared" si="2"/>
        <v>0</v>
      </c>
    </row>
    <row r="8">
      <c r="A8" s="109">
        <v>7.0</v>
      </c>
      <c r="B8" s="116"/>
      <c r="C8" s="110"/>
      <c r="D8" s="109"/>
      <c r="E8" s="111"/>
      <c r="F8" s="109"/>
      <c r="G8" s="112" t="str">
        <f t="shared" si="1"/>
        <v/>
      </c>
      <c r="H8" s="110"/>
      <c r="I8" s="116"/>
      <c r="J8" s="110"/>
      <c r="K8" s="114"/>
      <c r="L8" s="115"/>
      <c r="M8" s="128"/>
      <c r="N8" s="115"/>
      <c r="O8" s="115"/>
    </row>
    <row r="9">
      <c r="A9" s="109">
        <v>8.0</v>
      </c>
      <c r="B9" s="129"/>
      <c r="C9" s="110"/>
      <c r="D9" s="109"/>
      <c r="E9" s="111"/>
      <c r="F9" s="109"/>
      <c r="G9" s="112" t="str">
        <f t="shared" si="1"/>
        <v/>
      </c>
      <c r="H9" s="110"/>
      <c r="I9" s="110"/>
      <c r="J9" s="110"/>
      <c r="K9" s="114"/>
      <c r="L9" s="115"/>
      <c r="M9" s="128"/>
      <c r="N9" s="115"/>
      <c r="O9" s="115"/>
    </row>
    <row r="10">
      <c r="A10" s="109">
        <v>10.0</v>
      </c>
      <c r="B10" s="110"/>
      <c r="C10" s="123"/>
      <c r="D10" s="109"/>
      <c r="E10" s="111"/>
      <c r="F10" s="130"/>
      <c r="G10" s="112" t="str">
        <f t="shared" si="1"/>
        <v/>
      </c>
      <c r="H10" s="125"/>
      <c r="I10" s="110"/>
      <c r="J10" s="110"/>
      <c r="K10" s="114"/>
      <c r="L10" s="115"/>
      <c r="M10" s="128"/>
      <c r="N10" s="115"/>
      <c r="O10" s="115"/>
    </row>
    <row r="11">
      <c r="A11" s="109">
        <v>11.0</v>
      </c>
      <c r="B11" s="131"/>
      <c r="C11" s="131"/>
      <c r="D11" s="130"/>
      <c r="E11" s="132"/>
      <c r="F11" s="130"/>
      <c r="G11" s="112" t="str">
        <f t="shared" si="1"/>
        <v/>
      </c>
      <c r="H11" s="110"/>
      <c r="I11" s="110"/>
      <c r="J11" s="110"/>
      <c r="K11" s="114"/>
      <c r="L11" s="115"/>
      <c r="M11" s="128"/>
      <c r="N11" s="115"/>
      <c r="O11" s="115"/>
    </row>
    <row r="12">
      <c r="A12" s="109">
        <v>12.0</v>
      </c>
      <c r="B12" s="131"/>
      <c r="C12" s="131"/>
      <c r="D12" s="130"/>
      <c r="E12" s="132"/>
      <c r="F12" s="130"/>
      <c r="G12" s="112" t="str">
        <f t="shared" si="1"/>
        <v/>
      </c>
      <c r="H12" s="110"/>
      <c r="I12" s="110"/>
      <c r="J12" s="110"/>
      <c r="K12" s="114"/>
      <c r="L12" s="115"/>
      <c r="M12" s="128"/>
      <c r="N12" s="115"/>
      <c r="O12" s="115"/>
    </row>
    <row r="13">
      <c r="A13" s="109">
        <v>13.0</v>
      </c>
      <c r="B13" s="131"/>
      <c r="C13" s="131"/>
      <c r="D13" s="130"/>
      <c r="E13" s="132"/>
      <c r="F13" s="130"/>
      <c r="G13" s="112" t="str">
        <f t="shared" si="1"/>
        <v/>
      </c>
      <c r="H13" s="110"/>
      <c r="I13" s="110"/>
      <c r="J13" s="110"/>
      <c r="K13" s="114"/>
      <c r="L13" s="128"/>
      <c r="M13" s="128"/>
      <c r="N13" s="128"/>
      <c r="O13" s="128"/>
    </row>
    <row r="14">
      <c r="A14" s="109">
        <v>14.0</v>
      </c>
      <c r="B14" s="131"/>
      <c r="C14" s="131"/>
      <c r="D14" s="130"/>
      <c r="E14" s="132"/>
      <c r="F14" s="130"/>
      <c r="G14" s="112" t="str">
        <f t="shared" si="1"/>
        <v/>
      </c>
      <c r="H14" s="110"/>
      <c r="I14" s="110"/>
      <c r="J14" s="110"/>
      <c r="K14" s="114"/>
      <c r="L14" s="128"/>
      <c r="M14" s="128"/>
      <c r="N14" s="128"/>
      <c r="O14" s="128"/>
    </row>
    <row r="15">
      <c r="A15" s="109">
        <v>15.0</v>
      </c>
      <c r="B15" s="131"/>
      <c r="C15" s="131"/>
      <c r="D15" s="130"/>
      <c r="E15" s="132"/>
      <c r="F15" s="130"/>
      <c r="G15" s="112" t="str">
        <f t="shared" si="1"/>
        <v/>
      </c>
      <c r="H15" s="110"/>
      <c r="I15" s="110"/>
      <c r="J15" s="110"/>
      <c r="K15" s="114"/>
      <c r="L15" s="128"/>
      <c r="M15" s="128"/>
      <c r="N15" s="128"/>
      <c r="O15" s="128"/>
    </row>
    <row r="16">
      <c r="A16" s="109">
        <v>16.0</v>
      </c>
      <c r="B16" s="131"/>
      <c r="C16" s="131"/>
      <c r="D16" s="130"/>
      <c r="E16" s="132"/>
      <c r="F16" s="130"/>
      <c r="G16" s="112" t="str">
        <f t="shared" si="1"/>
        <v/>
      </c>
      <c r="H16" s="110"/>
      <c r="I16" s="110"/>
      <c r="J16" s="110"/>
      <c r="K16" s="114"/>
      <c r="L16" s="128"/>
      <c r="M16" s="128"/>
      <c r="N16" s="128"/>
      <c r="O16" s="128"/>
    </row>
    <row r="17">
      <c r="A17" s="109">
        <v>17.0</v>
      </c>
      <c r="B17" s="131"/>
      <c r="C17" s="131"/>
      <c r="D17" s="130"/>
      <c r="E17" s="132"/>
      <c r="F17" s="130"/>
      <c r="G17" s="112" t="str">
        <f t="shared" si="1"/>
        <v/>
      </c>
      <c r="H17" s="110"/>
      <c r="I17" s="110"/>
      <c r="J17" s="110"/>
      <c r="K17" s="114"/>
      <c r="L17" s="128"/>
      <c r="M17" s="128"/>
      <c r="N17" s="128"/>
      <c r="O17" s="128"/>
    </row>
    <row r="18">
      <c r="A18" s="109">
        <v>18.0</v>
      </c>
      <c r="B18" s="131"/>
      <c r="C18" s="131"/>
      <c r="D18" s="130"/>
      <c r="E18" s="132"/>
      <c r="F18" s="130"/>
      <c r="G18" s="112" t="str">
        <f t="shared" si="1"/>
        <v/>
      </c>
      <c r="H18" s="110"/>
      <c r="I18" s="110"/>
      <c r="J18" s="110"/>
      <c r="K18" s="114"/>
      <c r="L18" s="128"/>
      <c r="M18" s="128"/>
      <c r="N18" s="128"/>
      <c r="O18" s="128"/>
    </row>
    <row r="19">
      <c r="A19" s="109">
        <v>19.0</v>
      </c>
      <c r="B19" s="131"/>
      <c r="C19" s="131"/>
      <c r="D19" s="130"/>
      <c r="E19" s="132"/>
      <c r="F19" s="130"/>
      <c r="G19" s="112" t="str">
        <f t="shared" si="1"/>
        <v/>
      </c>
      <c r="H19" s="110"/>
      <c r="I19" s="110"/>
      <c r="J19" s="110"/>
      <c r="K19" s="114"/>
      <c r="L19" s="128"/>
      <c r="M19" s="128"/>
      <c r="N19" s="128"/>
      <c r="O19" s="128"/>
    </row>
    <row r="20">
      <c r="A20" s="109">
        <v>20.0</v>
      </c>
      <c r="B20" s="131"/>
      <c r="C20" s="131"/>
      <c r="D20" s="130"/>
      <c r="E20" s="132"/>
      <c r="F20" s="130"/>
      <c r="G20" s="112" t="str">
        <f t="shared" si="1"/>
        <v/>
      </c>
      <c r="H20" s="110"/>
      <c r="I20" s="110"/>
      <c r="J20" s="110"/>
      <c r="K20" s="114"/>
      <c r="L20" s="128"/>
      <c r="M20" s="128"/>
      <c r="N20" s="128"/>
      <c r="O20" s="128"/>
    </row>
    <row r="21">
      <c r="A21" s="109">
        <v>21.0</v>
      </c>
      <c r="B21" s="131"/>
      <c r="C21" s="131"/>
      <c r="D21" s="130"/>
      <c r="E21" s="132"/>
      <c r="F21" s="130"/>
      <c r="G21" s="112" t="str">
        <f t="shared" si="1"/>
        <v/>
      </c>
      <c r="H21" s="110"/>
      <c r="I21" s="110"/>
      <c r="J21" s="110"/>
      <c r="K21" s="114"/>
      <c r="L21" s="128"/>
      <c r="M21" s="128"/>
      <c r="N21" s="128"/>
      <c r="O21" s="128"/>
    </row>
    <row r="22">
      <c r="A22" s="109">
        <v>30.0</v>
      </c>
      <c r="B22" s="131"/>
      <c r="C22" s="131"/>
      <c r="D22" s="130"/>
      <c r="E22" s="132"/>
      <c r="F22" s="130"/>
      <c r="G22" s="112" t="str">
        <f t="shared" si="1"/>
        <v/>
      </c>
      <c r="H22" s="110"/>
      <c r="I22" s="110"/>
      <c r="J22" s="110"/>
      <c r="K22" s="114"/>
      <c r="L22" s="128"/>
      <c r="M22" s="128"/>
      <c r="N22" s="128"/>
      <c r="O22" s="128"/>
    </row>
    <row r="23">
      <c r="A23" s="109">
        <v>31.0</v>
      </c>
      <c r="B23" s="131"/>
      <c r="C23" s="131"/>
      <c r="D23" s="130"/>
      <c r="E23" s="132"/>
      <c r="F23" s="130"/>
      <c r="G23" s="112" t="str">
        <f t="shared" si="1"/>
        <v/>
      </c>
      <c r="H23" s="110"/>
      <c r="I23" s="110"/>
      <c r="J23" s="110"/>
      <c r="K23" s="114"/>
      <c r="L23" s="128"/>
      <c r="M23" s="128"/>
      <c r="N23" s="128"/>
      <c r="O23" s="128"/>
    </row>
    <row r="24">
      <c r="A24" s="109">
        <v>32.0</v>
      </c>
      <c r="B24" s="131"/>
      <c r="C24" s="131"/>
      <c r="D24" s="130"/>
      <c r="E24" s="132"/>
      <c r="F24" s="130"/>
      <c r="G24" s="112" t="str">
        <f t="shared" si="1"/>
        <v/>
      </c>
      <c r="H24" s="110"/>
      <c r="I24" s="110"/>
      <c r="J24" s="110"/>
      <c r="K24" s="114"/>
      <c r="L24" s="128"/>
      <c r="M24" s="128"/>
      <c r="N24" s="128"/>
      <c r="O24" s="128"/>
    </row>
    <row r="25">
      <c r="A25" s="109">
        <v>33.0</v>
      </c>
      <c r="B25" s="131"/>
      <c r="C25" s="131"/>
      <c r="D25" s="130"/>
      <c r="E25" s="132"/>
      <c r="F25" s="130"/>
      <c r="G25" s="112" t="str">
        <f t="shared" si="1"/>
        <v/>
      </c>
      <c r="H25" s="110"/>
      <c r="I25" s="110"/>
      <c r="J25" s="110"/>
      <c r="K25" s="114"/>
      <c r="L25" s="128"/>
      <c r="M25" s="128"/>
      <c r="N25" s="128"/>
      <c r="O25" s="128"/>
    </row>
    <row r="26">
      <c r="A26" s="109">
        <v>34.0</v>
      </c>
      <c r="B26" s="131"/>
      <c r="C26" s="131"/>
      <c r="D26" s="130"/>
      <c r="E26" s="132"/>
      <c r="F26" s="130"/>
      <c r="G26" s="112" t="str">
        <f t="shared" si="1"/>
        <v/>
      </c>
      <c r="H26" s="110"/>
      <c r="I26" s="110"/>
      <c r="J26" s="110"/>
      <c r="K26" s="114"/>
      <c r="L26" s="128"/>
      <c r="M26" s="128"/>
      <c r="N26" s="128"/>
      <c r="O26" s="128"/>
    </row>
    <row r="27">
      <c r="A27" s="109">
        <v>35.0</v>
      </c>
      <c r="B27" s="131"/>
      <c r="C27" s="131"/>
      <c r="D27" s="130"/>
      <c r="E27" s="132"/>
      <c r="F27" s="130"/>
      <c r="G27" s="112" t="str">
        <f t="shared" si="1"/>
        <v/>
      </c>
      <c r="H27" s="110"/>
      <c r="I27" s="110"/>
      <c r="J27" s="110"/>
      <c r="K27" s="114"/>
      <c r="L27" s="128"/>
      <c r="M27" s="128"/>
      <c r="N27" s="128"/>
      <c r="O27" s="128"/>
    </row>
    <row r="28">
      <c r="A28" s="109">
        <v>36.0</v>
      </c>
      <c r="B28" s="131"/>
      <c r="C28" s="131"/>
      <c r="D28" s="130"/>
      <c r="E28" s="132"/>
      <c r="F28" s="130"/>
      <c r="G28" s="112" t="str">
        <f t="shared" si="1"/>
        <v/>
      </c>
      <c r="H28" s="110"/>
      <c r="I28" s="110"/>
      <c r="J28" s="110"/>
      <c r="K28" s="114"/>
      <c r="L28" s="128"/>
      <c r="M28" s="128"/>
      <c r="N28" s="128"/>
      <c r="O28" s="128"/>
    </row>
    <row r="29">
      <c r="A29" s="109">
        <v>37.0</v>
      </c>
      <c r="B29" s="131"/>
      <c r="C29" s="131"/>
      <c r="D29" s="130"/>
      <c r="E29" s="132"/>
      <c r="F29" s="130"/>
      <c r="G29" s="112" t="str">
        <f t="shared" si="1"/>
        <v/>
      </c>
      <c r="H29" s="110"/>
      <c r="I29" s="110"/>
      <c r="J29" s="110"/>
      <c r="K29" s="114"/>
      <c r="L29" s="128"/>
      <c r="M29" s="128"/>
      <c r="N29" s="128"/>
      <c r="O29" s="128"/>
    </row>
    <row r="30">
      <c r="A30" s="109">
        <v>38.0</v>
      </c>
      <c r="B30" s="131"/>
      <c r="C30" s="131"/>
      <c r="D30" s="130"/>
      <c r="E30" s="132"/>
      <c r="F30" s="130"/>
      <c r="G30" s="112" t="str">
        <f t="shared" si="1"/>
        <v/>
      </c>
      <c r="H30" s="110"/>
      <c r="I30" s="110"/>
      <c r="J30" s="110"/>
      <c r="K30" s="114"/>
      <c r="L30" s="128"/>
      <c r="M30" s="128"/>
      <c r="N30" s="128"/>
      <c r="O30" s="128"/>
    </row>
    <row r="31">
      <c r="A31" s="109">
        <v>39.0</v>
      </c>
      <c r="B31" s="131"/>
      <c r="C31" s="131"/>
      <c r="D31" s="130"/>
      <c r="E31" s="132"/>
      <c r="F31" s="130"/>
      <c r="G31" s="112" t="str">
        <f t="shared" si="1"/>
        <v/>
      </c>
      <c r="H31" s="110"/>
      <c r="I31" s="110"/>
      <c r="J31" s="110"/>
      <c r="K31" s="114"/>
      <c r="L31" s="128"/>
      <c r="M31" s="128"/>
      <c r="N31" s="128"/>
      <c r="O31" s="128"/>
    </row>
    <row r="32">
      <c r="A32" s="109">
        <v>40.0</v>
      </c>
      <c r="B32" s="131"/>
      <c r="C32" s="131"/>
      <c r="D32" s="130"/>
      <c r="E32" s="132"/>
      <c r="F32" s="130"/>
      <c r="G32" s="112" t="str">
        <f t="shared" si="1"/>
        <v/>
      </c>
      <c r="H32" s="110"/>
      <c r="I32" s="110"/>
      <c r="J32" s="110"/>
      <c r="K32" s="114"/>
      <c r="L32" s="128"/>
      <c r="M32" s="128"/>
      <c r="N32" s="128"/>
      <c r="O32" s="128"/>
    </row>
    <row r="33">
      <c r="A33" s="109">
        <v>41.0</v>
      </c>
      <c r="B33" s="131"/>
      <c r="C33" s="131"/>
      <c r="D33" s="130"/>
      <c r="E33" s="132"/>
      <c r="F33" s="130"/>
      <c r="G33" s="112" t="str">
        <f t="shared" si="1"/>
        <v/>
      </c>
      <c r="H33" s="110"/>
      <c r="I33" s="110"/>
      <c r="J33" s="110"/>
      <c r="K33" s="114"/>
      <c r="L33" s="128"/>
      <c r="M33" s="128"/>
      <c r="N33" s="128"/>
      <c r="O33" s="128"/>
    </row>
    <row r="34">
      <c r="A34" s="109">
        <v>42.0</v>
      </c>
      <c r="B34" s="131"/>
      <c r="C34" s="131"/>
      <c r="D34" s="130"/>
      <c r="E34" s="132"/>
      <c r="F34" s="130"/>
      <c r="G34" s="112" t="str">
        <f t="shared" si="1"/>
        <v/>
      </c>
      <c r="H34" s="110"/>
      <c r="I34" s="110"/>
      <c r="J34" s="110"/>
      <c r="K34" s="114"/>
      <c r="L34" s="128"/>
      <c r="M34" s="128"/>
      <c r="N34" s="128"/>
      <c r="O34" s="128"/>
    </row>
    <row r="35">
      <c r="A35" s="109">
        <v>43.0</v>
      </c>
      <c r="B35" s="131"/>
      <c r="C35" s="131"/>
      <c r="D35" s="130"/>
      <c r="E35" s="132"/>
      <c r="F35" s="130"/>
      <c r="G35" s="112" t="str">
        <f t="shared" si="1"/>
        <v/>
      </c>
      <c r="H35" s="110"/>
      <c r="I35" s="110"/>
      <c r="J35" s="110"/>
      <c r="K35" s="114"/>
      <c r="L35" s="128"/>
      <c r="M35" s="128"/>
      <c r="N35" s="128"/>
      <c r="O35" s="128"/>
    </row>
    <row r="36">
      <c r="A36" s="109">
        <v>44.0</v>
      </c>
      <c r="B36" s="131"/>
      <c r="C36" s="131"/>
      <c r="D36" s="130"/>
      <c r="E36" s="132"/>
      <c r="F36" s="130"/>
      <c r="G36" s="112" t="str">
        <f t="shared" si="1"/>
        <v/>
      </c>
      <c r="H36" s="110"/>
      <c r="I36" s="110"/>
      <c r="J36" s="110"/>
      <c r="K36" s="114"/>
      <c r="L36" s="128"/>
      <c r="M36" s="128"/>
      <c r="N36" s="128"/>
      <c r="O36" s="128"/>
    </row>
    <row r="37">
      <c r="A37" s="109">
        <v>45.0</v>
      </c>
      <c r="B37" s="131"/>
      <c r="C37" s="131"/>
      <c r="D37" s="130"/>
      <c r="E37" s="132"/>
      <c r="F37" s="130"/>
      <c r="G37" s="112" t="str">
        <f t="shared" si="1"/>
        <v/>
      </c>
      <c r="H37" s="110"/>
      <c r="I37" s="110"/>
      <c r="J37" s="110"/>
      <c r="K37" s="114"/>
      <c r="L37" s="128"/>
      <c r="M37" s="128"/>
      <c r="N37" s="128"/>
      <c r="O37" s="128"/>
    </row>
    <row r="38">
      <c r="A38" s="109">
        <v>46.0</v>
      </c>
      <c r="B38" s="131"/>
      <c r="C38" s="131"/>
      <c r="D38" s="130"/>
      <c r="E38" s="132"/>
      <c r="F38" s="130"/>
      <c r="G38" s="112" t="str">
        <f t="shared" si="1"/>
        <v/>
      </c>
      <c r="H38" s="110"/>
      <c r="I38" s="110"/>
      <c r="J38" s="110"/>
      <c r="K38" s="114"/>
      <c r="L38" s="128"/>
      <c r="M38" s="128"/>
      <c r="N38" s="128"/>
      <c r="O38" s="128"/>
    </row>
    <row r="39">
      <c r="A39" s="109">
        <v>47.0</v>
      </c>
      <c r="B39" s="131"/>
      <c r="C39" s="131"/>
      <c r="D39" s="130"/>
      <c r="E39" s="132"/>
      <c r="F39" s="130"/>
      <c r="G39" s="112" t="str">
        <f t="shared" si="1"/>
        <v/>
      </c>
      <c r="H39" s="110"/>
      <c r="I39" s="110"/>
      <c r="J39" s="110"/>
      <c r="K39" s="114"/>
      <c r="L39" s="128"/>
      <c r="M39" s="128"/>
      <c r="N39" s="128"/>
      <c r="O39" s="128"/>
    </row>
    <row r="40">
      <c r="A40" s="109">
        <v>48.0</v>
      </c>
      <c r="B40" s="131"/>
      <c r="C40" s="131"/>
      <c r="D40" s="130"/>
      <c r="E40" s="132"/>
      <c r="F40" s="130"/>
      <c r="G40" s="112" t="str">
        <f t="shared" si="1"/>
        <v/>
      </c>
      <c r="H40" s="110"/>
      <c r="I40" s="110"/>
      <c r="J40" s="110"/>
      <c r="K40" s="114"/>
      <c r="L40" s="128"/>
      <c r="M40" s="128"/>
      <c r="N40" s="128"/>
      <c r="O40" s="128"/>
    </row>
    <row r="41">
      <c r="A41" s="109">
        <v>49.0</v>
      </c>
      <c r="B41" s="131"/>
      <c r="C41" s="131"/>
      <c r="D41" s="130"/>
      <c r="E41" s="132"/>
      <c r="F41" s="130"/>
      <c r="G41" s="112" t="str">
        <f t="shared" si="1"/>
        <v/>
      </c>
      <c r="H41" s="110"/>
      <c r="I41" s="110"/>
      <c r="J41" s="110"/>
      <c r="K41" s="114"/>
      <c r="L41" s="128"/>
      <c r="M41" s="128"/>
      <c r="N41" s="128"/>
      <c r="O41" s="128"/>
    </row>
    <row r="42">
      <c r="A42" s="109">
        <v>50.0</v>
      </c>
      <c r="B42" s="131"/>
      <c r="C42" s="131"/>
      <c r="D42" s="130"/>
      <c r="E42" s="132"/>
      <c r="F42" s="130"/>
      <c r="G42" s="112" t="str">
        <f t="shared" si="1"/>
        <v/>
      </c>
      <c r="H42" s="110"/>
      <c r="I42" s="110"/>
      <c r="J42" s="110"/>
      <c r="K42" s="114"/>
      <c r="L42" s="128"/>
      <c r="M42" s="128"/>
      <c r="N42" s="128"/>
      <c r="O42" s="128"/>
    </row>
    <row r="43">
      <c r="A43" s="109">
        <v>51.0</v>
      </c>
      <c r="B43" s="131"/>
      <c r="C43" s="131"/>
      <c r="D43" s="130"/>
      <c r="E43" s="132"/>
      <c r="F43" s="130"/>
      <c r="G43" s="112" t="str">
        <f t="shared" si="1"/>
        <v/>
      </c>
      <c r="H43" s="110"/>
      <c r="I43" s="110"/>
      <c r="J43" s="110"/>
      <c r="K43" s="114"/>
      <c r="L43" s="128"/>
      <c r="M43" s="128"/>
      <c r="N43" s="128"/>
      <c r="O43" s="128"/>
    </row>
    <row r="44">
      <c r="A44" s="109">
        <v>52.0</v>
      </c>
      <c r="B44" s="131"/>
      <c r="C44" s="131"/>
      <c r="D44" s="130"/>
      <c r="E44" s="132"/>
      <c r="F44" s="130"/>
      <c r="G44" s="112" t="str">
        <f t="shared" si="1"/>
        <v/>
      </c>
      <c r="H44" s="110"/>
      <c r="I44" s="110"/>
      <c r="J44" s="110"/>
      <c r="K44" s="114"/>
      <c r="L44" s="128"/>
      <c r="M44" s="128"/>
      <c r="N44" s="128"/>
      <c r="O44" s="128"/>
    </row>
    <row r="45">
      <c r="A45" s="109">
        <v>53.0</v>
      </c>
      <c r="B45" s="131"/>
      <c r="C45" s="131"/>
      <c r="D45" s="130"/>
      <c r="E45" s="132"/>
      <c r="F45" s="130"/>
      <c r="G45" s="112" t="str">
        <f t="shared" si="1"/>
        <v/>
      </c>
      <c r="H45" s="110"/>
      <c r="I45" s="110"/>
      <c r="J45" s="110"/>
      <c r="K45" s="114"/>
      <c r="L45" s="128"/>
      <c r="M45" s="128"/>
      <c r="N45" s="128"/>
      <c r="O45" s="128"/>
    </row>
    <row r="46">
      <c r="A46" s="109">
        <v>54.0</v>
      </c>
      <c r="B46" s="131"/>
      <c r="C46" s="131"/>
      <c r="D46" s="130"/>
      <c r="E46" s="132"/>
      <c r="F46" s="130"/>
      <c r="G46" s="112" t="str">
        <f t="shared" si="1"/>
        <v/>
      </c>
      <c r="H46" s="110"/>
      <c r="I46" s="110"/>
      <c r="J46" s="110"/>
      <c r="K46" s="114"/>
      <c r="L46" s="128"/>
      <c r="M46" s="128"/>
      <c r="N46" s="128"/>
      <c r="O46" s="128"/>
    </row>
    <row r="47">
      <c r="A47" s="109">
        <v>55.0</v>
      </c>
      <c r="B47" s="131"/>
      <c r="C47" s="131"/>
      <c r="D47" s="130"/>
      <c r="E47" s="132"/>
      <c r="F47" s="130"/>
      <c r="G47" s="112" t="str">
        <f t="shared" si="1"/>
        <v/>
      </c>
      <c r="H47" s="110"/>
      <c r="I47" s="110"/>
      <c r="J47" s="110"/>
      <c r="K47" s="114"/>
      <c r="L47" s="128"/>
      <c r="M47" s="128"/>
      <c r="N47" s="128"/>
      <c r="O47" s="128"/>
    </row>
    <row r="48">
      <c r="A48" s="109">
        <v>56.0</v>
      </c>
      <c r="B48" s="131"/>
      <c r="C48" s="131"/>
      <c r="D48" s="130"/>
      <c r="E48" s="132"/>
      <c r="F48" s="130"/>
      <c r="G48" s="112" t="str">
        <f t="shared" si="1"/>
        <v/>
      </c>
      <c r="H48" s="110"/>
      <c r="I48" s="110"/>
      <c r="J48" s="110"/>
      <c r="K48" s="114"/>
      <c r="L48" s="128"/>
      <c r="M48" s="128"/>
      <c r="N48" s="128"/>
      <c r="O48" s="128"/>
    </row>
    <row r="49">
      <c r="A49" s="109">
        <v>57.0</v>
      </c>
      <c r="B49" s="131"/>
      <c r="C49" s="131"/>
      <c r="D49" s="130"/>
      <c r="E49" s="132"/>
      <c r="F49" s="130"/>
      <c r="G49" s="112" t="str">
        <f t="shared" si="1"/>
        <v/>
      </c>
      <c r="H49" s="110"/>
      <c r="I49" s="110"/>
      <c r="J49" s="110"/>
      <c r="K49" s="114"/>
      <c r="L49" s="128"/>
      <c r="M49" s="128"/>
      <c r="N49" s="128"/>
      <c r="O49" s="128"/>
    </row>
    <row r="50">
      <c r="A50" s="109">
        <v>58.0</v>
      </c>
      <c r="B50" s="131"/>
      <c r="C50" s="131"/>
      <c r="D50" s="130"/>
      <c r="E50" s="132"/>
      <c r="F50" s="130"/>
      <c r="G50" s="112" t="str">
        <f t="shared" si="1"/>
        <v/>
      </c>
      <c r="H50" s="110"/>
      <c r="I50" s="110"/>
      <c r="J50" s="110"/>
      <c r="K50" s="114"/>
      <c r="L50" s="128"/>
      <c r="M50" s="128"/>
      <c r="N50" s="128"/>
      <c r="O50" s="128"/>
    </row>
    <row r="51">
      <c r="A51" s="109">
        <v>59.0</v>
      </c>
      <c r="B51" s="131"/>
      <c r="C51" s="131"/>
      <c r="D51" s="130"/>
      <c r="E51" s="132"/>
      <c r="F51" s="130"/>
      <c r="G51" s="112" t="str">
        <f t="shared" si="1"/>
        <v/>
      </c>
      <c r="H51" s="110"/>
      <c r="I51" s="110"/>
      <c r="J51" s="110"/>
      <c r="K51" s="114"/>
      <c r="L51" s="128"/>
      <c r="M51" s="128"/>
      <c r="N51" s="128"/>
      <c r="O51" s="128"/>
    </row>
    <row r="52">
      <c r="A52" s="109">
        <v>60.0</v>
      </c>
      <c r="B52" s="131"/>
      <c r="C52" s="131"/>
      <c r="D52" s="130"/>
      <c r="E52" s="132"/>
      <c r="F52" s="130"/>
      <c r="G52" s="112" t="str">
        <f t="shared" si="1"/>
        <v/>
      </c>
      <c r="H52" s="110"/>
      <c r="I52" s="110"/>
      <c r="J52" s="110"/>
      <c r="K52" s="114"/>
      <c r="L52" s="128"/>
      <c r="M52" s="128"/>
      <c r="N52" s="128"/>
      <c r="O52" s="128"/>
    </row>
    <row r="53">
      <c r="A53" s="109">
        <v>61.0</v>
      </c>
      <c r="B53" s="131"/>
      <c r="C53" s="131"/>
      <c r="D53" s="130"/>
      <c r="E53" s="132"/>
      <c r="F53" s="130"/>
      <c r="G53" s="112" t="str">
        <f t="shared" si="1"/>
        <v/>
      </c>
      <c r="H53" s="110"/>
      <c r="I53" s="110"/>
      <c r="J53" s="110"/>
      <c r="K53" s="114"/>
      <c r="L53" s="128"/>
      <c r="M53" s="128"/>
      <c r="N53" s="128"/>
      <c r="O53" s="128"/>
    </row>
    <row r="54">
      <c r="A54" s="109">
        <v>62.0</v>
      </c>
      <c r="B54" s="131"/>
      <c r="C54" s="131"/>
      <c r="D54" s="130"/>
      <c r="E54" s="132"/>
      <c r="F54" s="130"/>
      <c r="G54" s="112" t="str">
        <f t="shared" si="1"/>
        <v/>
      </c>
      <c r="H54" s="110"/>
      <c r="I54" s="110"/>
      <c r="J54" s="110"/>
      <c r="K54" s="114"/>
      <c r="L54" s="128"/>
      <c r="M54" s="128"/>
      <c r="N54" s="128"/>
      <c r="O54" s="128"/>
    </row>
    <row r="55">
      <c r="A55" s="109">
        <v>63.0</v>
      </c>
      <c r="B55" s="131"/>
      <c r="C55" s="131"/>
      <c r="D55" s="130"/>
      <c r="E55" s="132"/>
      <c r="F55" s="130"/>
      <c r="G55" s="112" t="str">
        <f t="shared" si="1"/>
        <v/>
      </c>
      <c r="H55" s="110"/>
      <c r="I55" s="110"/>
      <c r="J55" s="110"/>
      <c r="K55" s="114"/>
      <c r="L55" s="128"/>
      <c r="M55" s="128"/>
      <c r="N55" s="128"/>
      <c r="O55" s="128"/>
    </row>
    <row r="56">
      <c r="A56" s="109">
        <v>64.0</v>
      </c>
      <c r="B56" s="131"/>
      <c r="C56" s="131"/>
      <c r="D56" s="130"/>
      <c r="E56" s="132"/>
      <c r="F56" s="130"/>
      <c r="G56" s="112" t="str">
        <f t="shared" si="1"/>
        <v/>
      </c>
      <c r="H56" s="110"/>
      <c r="I56" s="110"/>
      <c r="J56" s="110"/>
      <c r="K56" s="114"/>
      <c r="L56" s="128"/>
      <c r="M56" s="128"/>
      <c r="N56" s="128"/>
      <c r="O56" s="128"/>
    </row>
    <row r="57">
      <c r="A57" s="109">
        <v>65.0</v>
      </c>
      <c r="B57" s="131"/>
      <c r="C57" s="131"/>
      <c r="D57" s="130"/>
      <c r="E57" s="132"/>
      <c r="F57" s="130"/>
      <c r="G57" s="112" t="str">
        <f t="shared" si="1"/>
        <v/>
      </c>
      <c r="H57" s="110"/>
      <c r="I57" s="110"/>
      <c r="J57" s="110"/>
      <c r="K57" s="114"/>
      <c r="L57" s="128"/>
      <c r="M57" s="128"/>
      <c r="N57" s="128"/>
      <c r="O57" s="128"/>
    </row>
    <row r="58">
      <c r="A58" s="109">
        <v>66.0</v>
      </c>
      <c r="B58" s="131"/>
      <c r="C58" s="131"/>
      <c r="D58" s="130"/>
      <c r="E58" s="132"/>
      <c r="F58" s="130"/>
      <c r="G58" s="112" t="str">
        <f t="shared" si="1"/>
        <v/>
      </c>
      <c r="H58" s="110"/>
      <c r="I58" s="110"/>
      <c r="J58" s="110"/>
      <c r="K58" s="114"/>
      <c r="L58" s="128"/>
      <c r="M58" s="128"/>
      <c r="N58" s="128"/>
      <c r="O58" s="128"/>
    </row>
    <row r="59">
      <c r="A59" s="109">
        <v>67.0</v>
      </c>
      <c r="B59" s="131"/>
      <c r="C59" s="131"/>
      <c r="D59" s="130"/>
      <c r="E59" s="132"/>
      <c r="F59" s="130"/>
      <c r="G59" s="112" t="str">
        <f t="shared" si="1"/>
        <v/>
      </c>
      <c r="H59" s="110"/>
      <c r="I59" s="110"/>
      <c r="J59" s="110"/>
      <c r="K59" s="114"/>
      <c r="L59" s="128"/>
      <c r="M59" s="128"/>
      <c r="N59" s="128"/>
      <c r="O59" s="128"/>
    </row>
    <row r="60">
      <c r="A60" s="109">
        <v>68.0</v>
      </c>
      <c r="B60" s="131"/>
      <c r="C60" s="131"/>
      <c r="D60" s="130"/>
      <c r="E60" s="132"/>
      <c r="F60" s="130"/>
      <c r="G60" s="112" t="str">
        <f t="shared" si="1"/>
        <v/>
      </c>
      <c r="H60" s="110"/>
      <c r="I60" s="110"/>
      <c r="J60" s="110"/>
      <c r="K60" s="114"/>
      <c r="L60" s="128"/>
      <c r="M60" s="128"/>
      <c r="N60" s="128"/>
      <c r="O60" s="128"/>
    </row>
    <row r="61">
      <c r="A61" s="109">
        <v>69.0</v>
      </c>
      <c r="B61" s="131"/>
      <c r="C61" s="131"/>
      <c r="D61" s="130"/>
      <c r="E61" s="132"/>
      <c r="F61" s="130"/>
      <c r="G61" s="112" t="str">
        <f t="shared" si="1"/>
        <v/>
      </c>
      <c r="H61" s="110"/>
      <c r="I61" s="110"/>
      <c r="J61" s="110"/>
      <c r="K61" s="114"/>
      <c r="L61" s="128"/>
      <c r="M61" s="128"/>
      <c r="N61" s="128"/>
      <c r="O61" s="128"/>
    </row>
    <row r="62">
      <c r="A62" s="109">
        <v>70.0</v>
      </c>
      <c r="B62" s="131"/>
      <c r="C62" s="131"/>
      <c r="D62" s="130"/>
      <c r="E62" s="132"/>
      <c r="F62" s="130"/>
      <c r="G62" s="112" t="str">
        <f t="shared" si="1"/>
        <v/>
      </c>
      <c r="H62" s="110"/>
      <c r="I62" s="110"/>
      <c r="J62" s="110"/>
      <c r="K62" s="114"/>
      <c r="L62" s="128"/>
      <c r="M62" s="128"/>
      <c r="N62" s="128"/>
      <c r="O62" s="128"/>
    </row>
    <row r="63">
      <c r="A63" s="109">
        <v>71.0</v>
      </c>
      <c r="B63" s="131"/>
      <c r="C63" s="131"/>
      <c r="D63" s="130"/>
      <c r="E63" s="132"/>
      <c r="F63" s="130"/>
      <c r="G63" s="112" t="str">
        <f t="shared" si="1"/>
        <v/>
      </c>
      <c r="H63" s="110"/>
      <c r="I63" s="110"/>
      <c r="J63" s="110"/>
      <c r="K63" s="114"/>
      <c r="L63" s="128"/>
      <c r="M63" s="128"/>
      <c r="N63" s="128"/>
      <c r="O63" s="128"/>
    </row>
    <row r="64">
      <c r="A64" s="109">
        <v>72.0</v>
      </c>
      <c r="B64" s="131"/>
      <c r="C64" s="131"/>
      <c r="D64" s="130"/>
      <c r="E64" s="132"/>
      <c r="F64" s="130"/>
      <c r="G64" s="112" t="str">
        <f t="shared" si="1"/>
        <v/>
      </c>
      <c r="H64" s="110"/>
      <c r="I64" s="110"/>
      <c r="J64" s="110"/>
      <c r="K64" s="114"/>
      <c r="L64" s="128"/>
      <c r="M64" s="128"/>
      <c r="N64" s="128"/>
      <c r="O64" s="128"/>
    </row>
    <row r="65">
      <c r="A65" s="109">
        <v>73.0</v>
      </c>
      <c r="B65" s="131"/>
      <c r="C65" s="131"/>
      <c r="D65" s="130"/>
      <c r="E65" s="132"/>
      <c r="F65" s="130"/>
      <c r="G65" s="112" t="str">
        <f t="shared" si="1"/>
        <v/>
      </c>
      <c r="H65" s="110"/>
      <c r="I65" s="110"/>
      <c r="J65" s="110"/>
      <c r="K65" s="114"/>
      <c r="L65" s="128"/>
      <c r="M65" s="128"/>
      <c r="N65" s="128"/>
      <c r="O65" s="128"/>
    </row>
    <row r="66">
      <c r="A66" s="109">
        <v>74.0</v>
      </c>
      <c r="B66" s="131"/>
      <c r="C66" s="131"/>
      <c r="D66" s="130"/>
      <c r="E66" s="132"/>
      <c r="F66" s="130"/>
      <c r="G66" s="112" t="str">
        <f t="shared" si="1"/>
        <v/>
      </c>
      <c r="H66" s="110"/>
      <c r="I66" s="110"/>
      <c r="J66" s="110"/>
      <c r="K66" s="114"/>
      <c r="L66" s="128"/>
      <c r="M66" s="128"/>
      <c r="N66" s="128"/>
      <c r="O66" s="128"/>
    </row>
    <row r="67">
      <c r="A67" s="109">
        <v>75.0</v>
      </c>
      <c r="B67" s="131"/>
      <c r="C67" s="131"/>
      <c r="D67" s="130"/>
      <c r="E67" s="132"/>
      <c r="F67" s="130"/>
      <c r="G67" s="112" t="str">
        <f t="shared" si="1"/>
        <v/>
      </c>
      <c r="H67" s="110"/>
      <c r="I67" s="110"/>
      <c r="J67" s="110"/>
      <c r="K67" s="114"/>
      <c r="L67" s="128"/>
      <c r="M67" s="128"/>
      <c r="N67" s="128"/>
      <c r="O67" s="128"/>
    </row>
    <row r="68">
      <c r="A68" s="109">
        <v>76.0</v>
      </c>
      <c r="B68" s="131"/>
      <c r="C68" s="131"/>
      <c r="D68" s="130"/>
      <c r="E68" s="132"/>
      <c r="F68" s="130"/>
      <c r="G68" s="112" t="str">
        <f t="shared" si="1"/>
        <v/>
      </c>
      <c r="H68" s="110"/>
      <c r="I68" s="110"/>
      <c r="J68" s="110"/>
      <c r="K68" s="114"/>
      <c r="L68" s="128"/>
      <c r="M68" s="128"/>
      <c r="N68" s="128"/>
      <c r="O68" s="128"/>
    </row>
    <row r="69">
      <c r="A69" s="109">
        <v>77.0</v>
      </c>
      <c r="B69" s="131"/>
      <c r="C69" s="131"/>
      <c r="D69" s="130"/>
      <c r="E69" s="132"/>
      <c r="F69" s="130"/>
      <c r="G69" s="112" t="str">
        <f t="shared" si="1"/>
        <v/>
      </c>
      <c r="H69" s="110"/>
      <c r="I69" s="110"/>
      <c r="J69" s="110"/>
      <c r="K69" s="114"/>
      <c r="L69" s="128"/>
      <c r="M69" s="128"/>
      <c r="N69" s="128"/>
      <c r="O69" s="128"/>
    </row>
    <row r="70">
      <c r="A70" s="109">
        <v>78.0</v>
      </c>
      <c r="B70" s="131"/>
      <c r="C70" s="131"/>
      <c r="D70" s="130"/>
      <c r="E70" s="132"/>
      <c r="F70" s="130"/>
      <c r="G70" s="112" t="str">
        <f t="shared" si="1"/>
        <v/>
      </c>
      <c r="H70" s="110"/>
      <c r="I70" s="110"/>
      <c r="J70" s="110"/>
      <c r="K70" s="114"/>
      <c r="L70" s="128"/>
      <c r="M70" s="128"/>
      <c r="N70" s="128"/>
      <c r="O70" s="128"/>
    </row>
    <row r="71">
      <c r="A71" s="109">
        <v>79.0</v>
      </c>
      <c r="B71" s="131"/>
      <c r="C71" s="131"/>
      <c r="D71" s="130"/>
      <c r="E71" s="132"/>
      <c r="F71" s="130"/>
      <c r="G71" s="112" t="str">
        <f t="shared" si="1"/>
        <v/>
      </c>
      <c r="H71" s="110"/>
      <c r="I71" s="110"/>
      <c r="J71" s="110"/>
      <c r="K71" s="114"/>
      <c r="L71" s="128"/>
      <c r="M71" s="128"/>
      <c r="N71" s="128"/>
      <c r="O71" s="128"/>
    </row>
    <row r="72">
      <c r="A72" s="109">
        <v>80.0</v>
      </c>
      <c r="B72" s="131"/>
      <c r="C72" s="131"/>
      <c r="D72" s="130"/>
      <c r="E72" s="132"/>
      <c r="F72" s="130"/>
      <c r="G72" s="112" t="str">
        <f t="shared" si="1"/>
        <v/>
      </c>
      <c r="H72" s="110"/>
      <c r="I72" s="110"/>
      <c r="J72" s="110"/>
      <c r="K72" s="114"/>
      <c r="L72" s="128"/>
      <c r="M72" s="128"/>
      <c r="N72" s="128"/>
      <c r="O72" s="128"/>
    </row>
    <row r="73">
      <c r="A73" s="109">
        <v>81.0</v>
      </c>
      <c r="B73" s="131"/>
      <c r="C73" s="131"/>
      <c r="D73" s="130"/>
      <c r="E73" s="132"/>
      <c r="F73" s="130"/>
      <c r="G73" s="112" t="str">
        <f t="shared" si="1"/>
        <v/>
      </c>
      <c r="H73" s="110"/>
      <c r="I73" s="110"/>
      <c r="J73" s="110"/>
      <c r="K73" s="114"/>
      <c r="L73" s="128"/>
      <c r="M73" s="128"/>
      <c r="N73" s="128"/>
      <c r="O73" s="128"/>
    </row>
    <row r="74">
      <c r="A74" s="109">
        <v>82.0</v>
      </c>
      <c r="B74" s="131"/>
      <c r="C74" s="131"/>
      <c r="D74" s="130"/>
      <c r="E74" s="132"/>
      <c r="F74" s="130"/>
      <c r="G74" s="112" t="str">
        <f t="shared" si="1"/>
        <v/>
      </c>
      <c r="H74" s="110"/>
      <c r="I74" s="110"/>
      <c r="J74" s="110"/>
      <c r="K74" s="114"/>
      <c r="L74" s="128"/>
      <c r="M74" s="128"/>
      <c r="N74" s="128"/>
      <c r="O74" s="128"/>
    </row>
    <row r="75">
      <c r="A75" s="109">
        <v>83.0</v>
      </c>
      <c r="B75" s="131"/>
      <c r="C75" s="131"/>
      <c r="D75" s="130"/>
      <c r="E75" s="132"/>
      <c r="F75" s="130"/>
      <c r="G75" s="112" t="str">
        <f t="shared" si="1"/>
        <v/>
      </c>
      <c r="H75" s="110"/>
      <c r="I75" s="110"/>
      <c r="J75" s="110"/>
      <c r="K75" s="114"/>
      <c r="L75" s="128"/>
      <c r="M75" s="128"/>
      <c r="N75" s="128"/>
      <c r="O75" s="128"/>
    </row>
    <row r="76">
      <c r="A76" s="109">
        <v>84.0</v>
      </c>
      <c r="B76" s="131"/>
      <c r="C76" s="131"/>
      <c r="D76" s="130"/>
      <c r="E76" s="132"/>
      <c r="F76" s="130"/>
      <c r="G76" s="112" t="str">
        <f t="shared" si="1"/>
        <v/>
      </c>
      <c r="H76" s="110"/>
      <c r="I76" s="110"/>
      <c r="J76" s="110"/>
      <c r="K76" s="114"/>
      <c r="L76" s="128"/>
      <c r="M76" s="128"/>
      <c r="N76" s="128"/>
      <c r="O76" s="128"/>
    </row>
    <row r="77">
      <c r="A77" s="109">
        <v>85.0</v>
      </c>
      <c r="B77" s="131"/>
      <c r="C77" s="131"/>
      <c r="D77" s="130"/>
      <c r="E77" s="132"/>
      <c r="F77" s="130"/>
      <c r="G77" s="112" t="str">
        <f t="shared" si="1"/>
        <v/>
      </c>
      <c r="H77" s="110"/>
      <c r="I77" s="110"/>
      <c r="J77" s="110"/>
      <c r="K77" s="114"/>
      <c r="L77" s="128"/>
      <c r="M77" s="128"/>
      <c r="N77" s="128"/>
      <c r="O77" s="128"/>
    </row>
    <row r="78">
      <c r="A78" s="109">
        <v>86.0</v>
      </c>
      <c r="B78" s="131"/>
      <c r="C78" s="131"/>
      <c r="D78" s="130"/>
      <c r="E78" s="132"/>
      <c r="F78" s="130"/>
      <c r="G78" s="112" t="str">
        <f t="shared" si="1"/>
        <v/>
      </c>
      <c r="H78" s="110"/>
      <c r="I78" s="110"/>
      <c r="J78" s="110"/>
      <c r="K78" s="114"/>
      <c r="L78" s="128"/>
      <c r="M78" s="128"/>
      <c r="N78" s="128"/>
      <c r="O78" s="128"/>
    </row>
    <row r="79">
      <c r="A79" s="109">
        <v>87.0</v>
      </c>
      <c r="B79" s="131"/>
      <c r="C79" s="131"/>
      <c r="D79" s="130"/>
      <c r="E79" s="132"/>
      <c r="F79" s="130"/>
      <c r="G79" s="112" t="str">
        <f t="shared" si="1"/>
        <v/>
      </c>
      <c r="H79" s="110"/>
      <c r="I79" s="110"/>
      <c r="J79" s="110"/>
      <c r="K79" s="114"/>
      <c r="L79" s="128"/>
      <c r="M79" s="128"/>
      <c r="N79" s="128"/>
      <c r="O79" s="128"/>
    </row>
    <row r="80">
      <c r="A80" s="109">
        <v>88.0</v>
      </c>
      <c r="B80" s="131"/>
      <c r="C80" s="131"/>
      <c r="D80" s="130"/>
      <c r="E80" s="132"/>
      <c r="F80" s="130"/>
      <c r="G80" s="112" t="str">
        <f t="shared" si="1"/>
        <v/>
      </c>
      <c r="H80" s="110"/>
      <c r="I80" s="110"/>
      <c r="J80" s="110"/>
      <c r="K80" s="114"/>
      <c r="L80" s="128"/>
      <c r="M80" s="128"/>
      <c r="N80" s="128"/>
      <c r="O80" s="128"/>
    </row>
    <row r="81">
      <c r="A81" s="109">
        <v>89.0</v>
      </c>
      <c r="B81" s="131"/>
      <c r="C81" s="131"/>
      <c r="D81" s="130"/>
      <c r="E81" s="132"/>
      <c r="F81" s="130"/>
      <c r="G81" s="112" t="str">
        <f t="shared" si="1"/>
        <v/>
      </c>
      <c r="H81" s="110"/>
      <c r="I81" s="110"/>
      <c r="J81" s="110"/>
      <c r="K81" s="114"/>
      <c r="L81" s="128"/>
      <c r="M81" s="128"/>
      <c r="N81" s="128"/>
      <c r="O81" s="128"/>
    </row>
    <row r="82">
      <c r="A82" s="109">
        <v>90.0</v>
      </c>
      <c r="B82" s="131"/>
      <c r="C82" s="131"/>
      <c r="D82" s="130"/>
      <c r="E82" s="132"/>
      <c r="F82" s="130"/>
      <c r="G82" s="112" t="str">
        <f t="shared" si="1"/>
        <v/>
      </c>
      <c r="H82" s="110"/>
      <c r="I82" s="110"/>
      <c r="J82" s="110"/>
      <c r="K82" s="114"/>
      <c r="L82" s="128"/>
      <c r="M82" s="128"/>
      <c r="N82" s="128"/>
      <c r="O82" s="128"/>
    </row>
    <row r="83">
      <c r="A83" s="109">
        <v>91.0</v>
      </c>
      <c r="B83" s="131"/>
      <c r="C83" s="131"/>
      <c r="D83" s="130"/>
      <c r="E83" s="132"/>
      <c r="F83" s="130"/>
      <c r="G83" s="112" t="str">
        <f t="shared" si="1"/>
        <v/>
      </c>
      <c r="H83" s="110"/>
      <c r="I83" s="110"/>
      <c r="J83" s="110"/>
      <c r="K83" s="114"/>
      <c r="L83" s="128"/>
      <c r="M83" s="128"/>
      <c r="N83" s="128"/>
      <c r="O83" s="128"/>
    </row>
    <row r="84">
      <c r="A84" s="109">
        <v>92.0</v>
      </c>
      <c r="B84" s="131"/>
      <c r="C84" s="131"/>
      <c r="D84" s="130"/>
      <c r="E84" s="132"/>
      <c r="F84" s="130"/>
      <c r="G84" s="112" t="str">
        <f t="shared" si="1"/>
        <v/>
      </c>
      <c r="H84" s="110"/>
      <c r="I84" s="110"/>
      <c r="J84" s="110"/>
      <c r="K84" s="114"/>
      <c r="L84" s="128"/>
      <c r="M84" s="128"/>
      <c r="N84" s="128"/>
      <c r="O84" s="128"/>
    </row>
    <row r="85">
      <c r="A85" s="109">
        <v>93.0</v>
      </c>
      <c r="B85" s="131"/>
      <c r="C85" s="131"/>
      <c r="D85" s="130"/>
      <c r="E85" s="132"/>
      <c r="F85" s="130"/>
      <c r="G85" s="112" t="str">
        <f t="shared" si="1"/>
        <v/>
      </c>
      <c r="H85" s="110"/>
      <c r="I85" s="110"/>
      <c r="J85" s="110"/>
      <c r="K85" s="114"/>
      <c r="L85" s="128"/>
      <c r="M85" s="128"/>
      <c r="N85" s="128"/>
      <c r="O85" s="128"/>
    </row>
    <row r="86">
      <c r="A86" s="109">
        <v>94.0</v>
      </c>
      <c r="B86" s="131"/>
      <c r="C86" s="131"/>
      <c r="D86" s="130"/>
      <c r="E86" s="132"/>
      <c r="F86" s="130"/>
      <c r="G86" s="112" t="str">
        <f t="shared" si="1"/>
        <v/>
      </c>
      <c r="H86" s="110"/>
      <c r="I86" s="110"/>
      <c r="J86" s="110"/>
      <c r="K86" s="114"/>
      <c r="L86" s="128"/>
      <c r="M86" s="128"/>
      <c r="N86" s="128"/>
      <c r="O86" s="128"/>
    </row>
    <row r="87">
      <c r="A87" s="109">
        <v>95.0</v>
      </c>
      <c r="B87" s="131"/>
      <c r="C87" s="131"/>
      <c r="D87" s="130"/>
      <c r="E87" s="132"/>
      <c r="F87" s="130"/>
      <c r="G87" s="112" t="str">
        <f t="shared" si="1"/>
        <v/>
      </c>
      <c r="H87" s="110"/>
      <c r="I87" s="110"/>
      <c r="J87" s="110"/>
      <c r="K87" s="114"/>
      <c r="L87" s="128"/>
      <c r="M87" s="128"/>
      <c r="N87" s="128"/>
      <c r="O87" s="128"/>
    </row>
    <row r="88">
      <c r="A88" s="109">
        <v>96.0</v>
      </c>
      <c r="B88" s="131"/>
      <c r="C88" s="131"/>
      <c r="D88" s="130"/>
      <c r="E88" s="132"/>
      <c r="F88" s="130"/>
      <c r="G88" s="112" t="str">
        <f t="shared" si="1"/>
        <v/>
      </c>
      <c r="H88" s="110"/>
      <c r="I88" s="110"/>
      <c r="J88" s="110"/>
      <c r="K88" s="114"/>
      <c r="L88" s="128"/>
      <c r="M88" s="128"/>
      <c r="N88" s="128"/>
      <c r="O88" s="128"/>
    </row>
    <row r="89">
      <c r="A89" s="109">
        <v>97.0</v>
      </c>
      <c r="B89" s="131"/>
      <c r="C89" s="131"/>
      <c r="D89" s="130"/>
      <c r="E89" s="132"/>
      <c r="F89" s="130"/>
      <c r="G89" s="112" t="str">
        <f t="shared" si="1"/>
        <v/>
      </c>
      <c r="H89" s="110"/>
      <c r="I89" s="110"/>
      <c r="J89" s="110"/>
      <c r="K89" s="114"/>
      <c r="L89" s="128"/>
      <c r="M89" s="128"/>
      <c r="N89" s="128"/>
      <c r="O89" s="128"/>
    </row>
    <row r="90">
      <c r="A90" s="109">
        <v>98.0</v>
      </c>
      <c r="B90" s="131"/>
      <c r="C90" s="131"/>
      <c r="D90" s="130"/>
      <c r="E90" s="132"/>
      <c r="F90" s="130"/>
      <c r="G90" s="112" t="str">
        <f t="shared" si="1"/>
        <v/>
      </c>
      <c r="H90" s="110"/>
      <c r="I90" s="110"/>
      <c r="J90" s="110"/>
      <c r="K90" s="114"/>
      <c r="L90" s="128"/>
      <c r="M90" s="128"/>
      <c r="N90" s="128"/>
      <c r="O90" s="128"/>
    </row>
    <row r="91">
      <c r="A91" s="109">
        <v>99.0</v>
      </c>
      <c r="B91" s="131"/>
      <c r="C91" s="131"/>
      <c r="D91" s="130"/>
      <c r="E91" s="132"/>
      <c r="F91" s="130"/>
      <c r="G91" s="112" t="str">
        <f t="shared" si="1"/>
        <v/>
      </c>
      <c r="H91" s="110"/>
      <c r="I91" s="110"/>
      <c r="J91" s="110"/>
      <c r="K91" s="114"/>
      <c r="L91" s="128"/>
      <c r="M91" s="128"/>
      <c r="N91" s="128"/>
      <c r="O91" s="128"/>
    </row>
    <row r="92">
      <c r="A92" s="109">
        <v>100.0</v>
      </c>
      <c r="B92" s="131"/>
      <c r="C92" s="131"/>
      <c r="D92" s="130"/>
      <c r="E92" s="132"/>
      <c r="F92" s="130"/>
      <c r="G92" s="112" t="str">
        <f t="shared" si="1"/>
        <v/>
      </c>
      <c r="H92" s="110"/>
      <c r="I92" s="110"/>
      <c r="J92" s="110"/>
      <c r="K92" s="114"/>
      <c r="L92" s="128"/>
      <c r="M92" s="128"/>
      <c r="N92" s="128"/>
      <c r="O92" s="128"/>
    </row>
  </sheetData>
  <mergeCells count="1">
    <mergeCell ref="L1:O1"/>
  </mergeCells>
  <dataValidations>
    <dataValidation type="list" allowBlank="1" sqref="J2:J92">
      <formula1>"ЦПД,Иные подразделения вуза,Заказчик,Партнёр/спонсор,Личные средства"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